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yk3\OneDrive\Documents\Proyecto\"/>
    </mc:Choice>
  </mc:AlternateContent>
  <xr:revisionPtr revIDLastSave="0" documentId="13_ncr:1_{B26741C3-0A1B-4604-B007-9FBAB711338B}" xr6:coauthVersionLast="47" xr6:coauthVersionMax="47" xr10:uidLastSave="{00000000-0000-0000-0000-000000000000}"/>
  <bookViews>
    <workbookView xWindow="-120" yWindow="-120" windowWidth="29040" windowHeight="15720" xr2:uid="{8A08FA4F-BC34-4163-AE3C-EF0CC65D5A7E}"/>
  </bookViews>
  <sheets>
    <sheet name="ANTROPOMETRIA_ALEMA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38" i="1" l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AD7" i="1"/>
  <c r="AD6" i="1"/>
  <c r="AD5" i="1"/>
  <c r="AD4" i="1"/>
  <c r="AD3" i="1"/>
  <c r="AD2" i="1"/>
  <c r="X38" i="1"/>
  <c r="Z38" i="1"/>
  <c r="Z37" i="1"/>
  <c r="X37" i="1"/>
  <c r="Z36" i="1"/>
  <c r="X36" i="1"/>
  <c r="Z35" i="1"/>
  <c r="X35" i="1"/>
  <c r="Z34" i="1"/>
  <c r="X34" i="1"/>
  <c r="Z33" i="1"/>
  <c r="X33" i="1"/>
  <c r="Z32" i="1"/>
  <c r="X32" i="1"/>
  <c r="Z31" i="1"/>
  <c r="X31" i="1"/>
  <c r="Z30" i="1"/>
  <c r="X30" i="1"/>
  <c r="Z29" i="1"/>
  <c r="X29" i="1"/>
  <c r="Z28" i="1"/>
  <c r="X28" i="1"/>
  <c r="Z27" i="1"/>
  <c r="X27" i="1"/>
  <c r="Z26" i="1"/>
  <c r="X26" i="1"/>
  <c r="Z25" i="1"/>
  <c r="X25" i="1"/>
  <c r="Z24" i="1"/>
  <c r="X24" i="1"/>
  <c r="Z23" i="1"/>
  <c r="X23" i="1"/>
  <c r="Z22" i="1"/>
  <c r="X22" i="1"/>
  <c r="Z21" i="1"/>
  <c r="X21" i="1"/>
  <c r="Z20" i="1"/>
  <c r="X20" i="1"/>
  <c r="Z19" i="1"/>
  <c r="X19" i="1"/>
  <c r="Z18" i="1"/>
  <c r="X18" i="1"/>
  <c r="Z17" i="1"/>
  <c r="X17" i="1"/>
  <c r="Z16" i="1"/>
  <c r="X16" i="1"/>
  <c r="Z15" i="1"/>
  <c r="X15" i="1"/>
  <c r="Z14" i="1"/>
  <c r="X14" i="1"/>
  <c r="Z13" i="1"/>
  <c r="X13" i="1"/>
  <c r="Z12" i="1"/>
  <c r="X12" i="1"/>
  <c r="Z11" i="1"/>
  <c r="X11" i="1"/>
  <c r="Z10" i="1"/>
  <c r="X10" i="1"/>
  <c r="Z9" i="1"/>
  <c r="X9" i="1"/>
  <c r="Z8" i="1"/>
  <c r="X8" i="1"/>
  <c r="Z7" i="1"/>
  <c r="X7" i="1"/>
  <c r="Z6" i="1"/>
  <c r="X6" i="1"/>
  <c r="Z5" i="1"/>
  <c r="X5" i="1"/>
  <c r="Z4" i="1"/>
  <c r="X4" i="1"/>
  <c r="Z3" i="1"/>
  <c r="X3" i="1"/>
  <c r="Z2" i="1"/>
  <c r="X2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" i="1"/>
</calcChain>
</file>

<file path=xl/sharedStrings.xml><?xml version="1.0" encoding="utf-8"?>
<sst xmlns="http://schemas.openxmlformats.org/spreadsheetml/2006/main" count="178" uniqueCount="96">
  <si>
    <t>Nombre</t>
  </si>
  <si>
    <t>Edad</t>
  </si>
  <si>
    <t>ID</t>
  </si>
  <si>
    <t>PlTr</t>
  </si>
  <si>
    <t>PlCI</t>
  </si>
  <si>
    <t>PlSup</t>
  </si>
  <si>
    <t>PlAbd</t>
  </si>
  <si>
    <t>PlMM</t>
  </si>
  <si>
    <t>PlPant</t>
  </si>
  <si>
    <t>PerBrazoRel</t>
  </si>
  <si>
    <t>PerBrazoCon</t>
  </si>
  <si>
    <t>PerT</t>
  </si>
  <si>
    <t>PerCin</t>
  </si>
  <si>
    <t>PerCad</t>
  </si>
  <si>
    <t>PerMuslo</t>
  </si>
  <si>
    <t>PerPier</t>
  </si>
  <si>
    <t>PlSubEsc</t>
  </si>
  <si>
    <t>Altura</t>
  </si>
  <si>
    <t>Peso</t>
  </si>
  <si>
    <t>Insititucion</t>
  </si>
  <si>
    <t>Academia Alemana</t>
  </si>
  <si>
    <t>Test_Abd</t>
  </si>
  <si>
    <t>Test_FlexCLS</t>
  </si>
  <si>
    <t>Clasi_ClsAbd</t>
  </si>
  <si>
    <t>Clasi_ClsFlex</t>
  </si>
  <si>
    <t>Test_Salto</t>
  </si>
  <si>
    <t>Clasi_salto</t>
  </si>
  <si>
    <t>Test_Cooper</t>
  </si>
  <si>
    <t>Clasi_Coop</t>
  </si>
  <si>
    <t>Apelllido</t>
  </si>
  <si>
    <t>Angulo</t>
  </si>
  <si>
    <t>Menza</t>
  </si>
  <si>
    <t>Mosquera</t>
  </si>
  <si>
    <t>Renteria</t>
  </si>
  <si>
    <t>Bermudez</t>
  </si>
  <si>
    <t>Truque</t>
  </si>
  <si>
    <t>Reynolds</t>
  </si>
  <si>
    <t>Saavedra</t>
  </si>
  <si>
    <t>Ordoñez</t>
  </si>
  <si>
    <t>Pacheco</t>
  </si>
  <si>
    <t>Orejuela</t>
  </si>
  <si>
    <t>Díaz</t>
  </si>
  <si>
    <t>Lemos</t>
  </si>
  <si>
    <t>Córdoba</t>
  </si>
  <si>
    <t>Garrido</t>
  </si>
  <si>
    <t>Valencia</t>
  </si>
  <si>
    <t>Baltán</t>
  </si>
  <si>
    <t>Rodríguez</t>
  </si>
  <si>
    <t>Zapata</t>
  </si>
  <si>
    <t>García</t>
  </si>
  <si>
    <t>Salas</t>
  </si>
  <si>
    <t>Chala</t>
  </si>
  <si>
    <t>Medrano</t>
  </si>
  <si>
    <t>Suárez</t>
  </si>
  <si>
    <t>Palacios</t>
  </si>
  <si>
    <t>Guazá</t>
  </si>
  <si>
    <t>Sinisterra</t>
  </si>
  <si>
    <t>Castro</t>
  </si>
  <si>
    <t>Loboa</t>
  </si>
  <si>
    <t>Riascos</t>
  </si>
  <si>
    <t>Campo</t>
  </si>
  <si>
    <t>Copete</t>
  </si>
  <si>
    <t>Estiven</t>
  </si>
  <si>
    <t>Juan Miguel</t>
  </si>
  <si>
    <t>Samir</t>
  </si>
  <si>
    <t>Duvan</t>
  </si>
  <si>
    <t>Mateo</t>
  </si>
  <si>
    <t>Oscar</t>
  </si>
  <si>
    <t>Dilan</t>
  </si>
  <si>
    <t>Luis</t>
  </si>
  <si>
    <t>José</t>
  </si>
  <si>
    <t>Carlos</t>
  </si>
  <si>
    <t>Juan</t>
  </si>
  <si>
    <t>Yeiner</t>
  </si>
  <si>
    <t>Ander</t>
  </si>
  <si>
    <t>Xavier</t>
  </si>
  <si>
    <t>Jaider</t>
  </si>
  <si>
    <t>Gerkin</t>
  </si>
  <si>
    <t>Smic</t>
  </si>
  <si>
    <t>Santiago</t>
  </si>
  <si>
    <t>Jhojan</t>
  </si>
  <si>
    <t>Alejandro</t>
  </si>
  <si>
    <t>Juan Felipe</t>
  </si>
  <si>
    <t>Heider</t>
  </si>
  <si>
    <t>Jhoan</t>
  </si>
  <si>
    <t>Lowin Alli</t>
  </si>
  <si>
    <t>Anyeiser</t>
  </si>
  <si>
    <t>Jorge</t>
  </si>
  <si>
    <t>Yesid</t>
  </si>
  <si>
    <t>José Ángel</t>
  </si>
  <si>
    <t>Jeison</t>
  </si>
  <si>
    <t>Juan David</t>
  </si>
  <si>
    <t>Brayan</t>
  </si>
  <si>
    <t>Jarlinson</t>
  </si>
  <si>
    <t>Sexo</t>
  </si>
  <si>
    <t>Hombre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</si>
</sst>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0"/>
      <color rgb="FFABB2BF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0" fontId="0" fillId="2" borderId="1" xfId="0" applyFill="1" applyBorder="1"/>
    <xf numFmtId="164" fontId="0" fillId="4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 vertical="center"/>
    </xf>
    <xf numFmtId="0" fontId="1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7894C-22F0-4EC6-943E-003675F71928}">
  <dimension ref="A1:AD38"/>
  <sheetViews>
    <sheetView tabSelected="1" topLeftCell="H1" zoomScaleNormal="100" workbookViewId="0">
      <selection activeCell="AC42" sqref="AC42"/>
    </sheetView>
  </sheetViews>
  <sheetFormatPr baseColWidth="10" defaultRowHeight="15" x14ac:dyDescent="0.25"/>
  <cols>
    <col min="1" max="1" width="8.42578125" customWidth="1"/>
    <col min="2" max="3" width="16.85546875" bestFit="1" customWidth="1"/>
    <col min="4" max="5" width="16.85546875" customWidth="1"/>
    <col min="8" max="8" width="10.85546875" style="1"/>
    <col min="14" max="14" width="12.28515625" customWidth="1"/>
  </cols>
  <sheetData>
    <row r="1" spans="1:30" x14ac:dyDescent="0.25">
      <c r="A1" s="7" t="s">
        <v>2</v>
      </c>
      <c r="B1" s="7" t="s">
        <v>19</v>
      </c>
      <c r="C1" s="7" t="s">
        <v>0</v>
      </c>
      <c r="D1" s="7" t="s">
        <v>29</v>
      </c>
      <c r="E1" s="7" t="s">
        <v>94</v>
      </c>
      <c r="F1" s="7" t="s">
        <v>1</v>
      </c>
      <c r="G1" s="7" t="s">
        <v>18</v>
      </c>
      <c r="H1" s="14" t="s">
        <v>17</v>
      </c>
      <c r="I1" s="5" t="s">
        <v>3</v>
      </c>
      <c r="J1" s="7" t="s">
        <v>16</v>
      </c>
      <c r="K1" s="7" t="s">
        <v>4</v>
      </c>
      <c r="L1" s="7" t="s">
        <v>5</v>
      </c>
      <c r="M1" s="7" t="s">
        <v>6</v>
      </c>
      <c r="N1" s="7" t="s">
        <v>7</v>
      </c>
      <c r="O1" s="7" t="s">
        <v>8</v>
      </c>
      <c r="P1" s="7" t="s">
        <v>9</v>
      </c>
      <c r="Q1" s="7" t="s">
        <v>10</v>
      </c>
      <c r="R1" s="7" t="s">
        <v>11</v>
      </c>
      <c r="S1" s="7" t="s">
        <v>12</v>
      </c>
      <c r="T1" s="7" t="s">
        <v>13</v>
      </c>
      <c r="U1" s="7" t="s">
        <v>14</v>
      </c>
      <c r="V1" s="7" t="s">
        <v>15</v>
      </c>
      <c r="W1" s="7" t="s">
        <v>21</v>
      </c>
      <c r="X1" s="7" t="s">
        <v>23</v>
      </c>
      <c r="Y1" s="7" t="s">
        <v>22</v>
      </c>
      <c r="Z1" s="7" t="s">
        <v>24</v>
      </c>
      <c r="AA1" s="7" t="s">
        <v>25</v>
      </c>
      <c r="AB1" s="6" t="s">
        <v>26</v>
      </c>
      <c r="AC1" s="7" t="s">
        <v>27</v>
      </c>
      <c r="AD1" s="7" t="s">
        <v>28</v>
      </c>
    </row>
    <row r="2" spans="1:30" x14ac:dyDescent="0.25">
      <c r="A2" s="10">
        <v>1</v>
      </c>
      <c r="B2" s="10" t="s">
        <v>20</v>
      </c>
      <c r="C2" s="19" t="s">
        <v>62</v>
      </c>
      <c r="D2" s="19" t="s">
        <v>30</v>
      </c>
      <c r="E2" s="19" t="s">
        <v>95</v>
      </c>
      <c r="F2" s="10">
        <v>16</v>
      </c>
      <c r="G2" s="10">
        <v>79.8</v>
      </c>
      <c r="H2" s="15">
        <v>1.83</v>
      </c>
      <c r="I2" s="8">
        <v>13</v>
      </c>
      <c r="J2" s="8">
        <v>14</v>
      </c>
      <c r="K2" s="8">
        <v>17</v>
      </c>
      <c r="L2" s="8">
        <v>11</v>
      </c>
      <c r="M2" s="8">
        <v>20</v>
      </c>
      <c r="N2" s="8">
        <v>15</v>
      </c>
      <c r="O2" s="8">
        <v>10</v>
      </c>
      <c r="P2" s="8">
        <v>29.5</v>
      </c>
      <c r="Q2" s="8">
        <v>33.5</v>
      </c>
      <c r="R2" s="8">
        <v>99</v>
      </c>
      <c r="S2" s="8">
        <v>79</v>
      </c>
      <c r="T2" s="8">
        <v>95.5</v>
      </c>
      <c r="U2" s="8">
        <v>54.5</v>
      </c>
      <c r="V2" s="8">
        <v>36.5</v>
      </c>
      <c r="W2" s="10">
        <v>28</v>
      </c>
      <c r="X2" s="10" t="str">
        <f>IF(W2&gt;30,"Excelente",IF(W2&gt;=26,"Bueno",IF(W2&gt;=20,"Bueno",IF(W2&gt;=17,"Malo","Pobre"))))</f>
        <v>Bueno</v>
      </c>
      <c r="Y2" s="10">
        <v>44</v>
      </c>
      <c r="Z2" s="10" t="str">
        <f>IF(AND(F2&gt;=15,F2&lt;=19),
IF(Y2&lt;18,"Muy bajo",IF(Y2&lt;=23,"Bajo",IF(Y2&lt;=29,"Bueno",IF(Y2&lt;=35,"Bueno","Excelente")))),
IF(AND(F2&gt;=20,F2&lt;=29),
IF(Y2&lt;16,"Muy bajo",IF(Y2&lt;=21,"Bajo",IF(Y2&lt;=27,"Bueno",IF(Y2&lt;=33,"Bueno","Excelente")))),
IF(AND(F2&gt;=30,F2&lt;=39),
IF(Y2&lt;11,"Muy bajo",IF(Y2&lt;=16,"Bajo",IF(Y2&lt;=21,"Bueno",IF(Y2&lt;=27,"Bueno","Excelente")))),
IF(AND(F2&gt;=40,F2&lt;=49),
IF(Y2&lt;8,"Muy bajo",IF(Y2&lt;=12,"Bajo",IF(Y2&lt;=15,"Bueno",IF(Y2&lt;=21,"Bueno","Excelente")))),
IF(AND(F2&gt;=50,F2&lt;=59),
IF(Y2&lt;5,"Muy bajo",IF(Y2&lt;=8,"Bajo",IF(Y2&lt;=12,"Bueno",IF(Y2&lt;=17,"Bueno","Excelente")))),
IF(AND(F2&gt;=60,F2&lt;=69),
IF(Y2&lt;4,"Muy bajo",IF(Y2&lt;=7,"Bajo",IF(Y2&lt;=11,"Bueno",IF(Y2&lt;=16,"Bueno","Excelente")))),
IF(F2&gt;=70,
IF(Y2&lt;3,"Muy bajo",IF(Y2&lt;=5,"Bajo",IF(Y2&lt;=9,"Bueno",IF(Y2&lt;=13,"Bueno","Excelente")))),
"Edad fuera de rango")))))))</f>
        <v>Excelente</v>
      </c>
      <c r="AA2" s="10">
        <v>1.83</v>
      </c>
      <c r="AB2" s="9" t="str">
        <f>IF(AA2&gt;=1.9,"Bueno","Malo")</f>
        <v>Malo</v>
      </c>
      <c r="AC2" s="10">
        <v>2423</v>
      </c>
      <c r="AD2" s="10" t="str">
        <f>IF(F2&lt;30,
IF(AC2&lt;1600,"Malo",IF(AC2&lt;=2199,"Mala",IF(AC2&lt;=2399,"Malo",IF(AC2&lt;=2800,"Bueno","Excelente")))),
IF(AND(F2&gt;=30,F2&lt;40),
IF(AC2&lt;=1500,"Malo",IF(AC2&lt;=1899,"Mala",IF(AC2&lt;=2299,"Malo",IF(AC2&lt;=2700,"Bueno","Excelente")))),
IF(AND(F2&gt;=40,F2&lt;50),
IF(AC2&lt;=1400,"Malo",IF(AC2&lt;=1699,"Mala",IF(AC2&lt;=2099,"Malo",IF(AC2&lt;=2500,"Bueno","Excelente")))),
IF(F2&gt;=50,
IF(AC2&lt;=1300,"Malo",IF(AC2&lt;=1599,"Mala",IF(AC2&lt;=1999,"Malo",IF(AC2&lt;=2400,"Bueno","Excelente")))),
"Edad fuera de rango"))))</f>
        <v>Bueno</v>
      </c>
    </row>
    <row r="3" spans="1:30" x14ac:dyDescent="0.25">
      <c r="A3" s="10">
        <v>2</v>
      </c>
      <c r="B3" s="10" t="s">
        <v>20</v>
      </c>
      <c r="C3" s="19" t="s">
        <v>63</v>
      </c>
      <c r="D3" s="19" t="s">
        <v>31</v>
      </c>
      <c r="E3" s="19" t="s">
        <v>95</v>
      </c>
      <c r="F3" s="10">
        <v>16</v>
      </c>
      <c r="G3" s="10">
        <v>72.3</v>
      </c>
      <c r="H3" s="15">
        <v>1.79</v>
      </c>
      <c r="I3" s="8">
        <v>14</v>
      </c>
      <c r="J3" s="8">
        <v>11</v>
      </c>
      <c r="K3" s="8">
        <v>22</v>
      </c>
      <c r="L3" s="8">
        <v>9</v>
      </c>
      <c r="M3" s="8">
        <v>16</v>
      </c>
      <c r="N3" s="8">
        <v>16</v>
      </c>
      <c r="O3" s="8">
        <v>11</v>
      </c>
      <c r="P3" s="8">
        <v>28</v>
      </c>
      <c r="Q3" s="8">
        <v>33</v>
      </c>
      <c r="R3" s="8">
        <v>91</v>
      </c>
      <c r="S3" s="8">
        <v>75</v>
      </c>
      <c r="T3" s="8">
        <v>96.5</v>
      </c>
      <c r="U3" s="8">
        <v>53</v>
      </c>
      <c r="V3" s="8">
        <v>35.5</v>
      </c>
      <c r="W3" s="10">
        <v>35</v>
      </c>
      <c r="X3" s="10" t="str">
        <f>IF(W3&gt;30,"Excelente",IF(W3&gt;=26,"Bueno",IF(W3&gt;=20,"Bueno",IF(W3&gt;=17,"Malo","Pobre"))))</f>
        <v>Excelente</v>
      </c>
      <c r="Y3" s="10">
        <v>40</v>
      </c>
      <c r="Z3" s="10" t="str">
        <f>IF(AND(F3&gt;=15,F3&lt;=19),
IF(Y3&lt;18,"Muy bajo",IF(Y3&lt;=23,"Bajo",IF(Y3&lt;=29,"Bueno",IF(Y3&lt;=35,"Bueno","Excelente")))),
IF(AND(F3&gt;=20,F3&lt;=29),
IF(Y3&lt;16,"Muy bajo",IF(Y3&lt;=21,"Bajo",IF(Y3&lt;=27,"Bueno",IF(Y3&lt;=33,"Bueno","Excelente")))),
IF(AND(F3&gt;=30,F3&lt;=39),
IF(Y3&lt;11,"Muy bajo",IF(Y3&lt;=16,"Bajo",IF(Y3&lt;=21,"Bueno",IF(Y3&lt;=27,"Bueno","Excelente")))),
IF(AND(F3&gt;=40,F3&lt;=49),
IF(Y3&lt;8,"Muy bajo",IF(Y3&lt;=12,"Bajo",IF(Y3&lt;=15,"Bueno",IF(Y3&lt;=21,"Bueno","Excelente")))),
IF(AND(F3&gt;=50,F3&lt;=59),
IF(Y3&lt;5,"Muy bajo",IF(Y3&lt;=8,"Bajo",IF(Y3&lt;=12,"Bueno",IF(Y3&lt;=17,"Bueno","Excelente")))),
IF(AND(F3&gt;=60,F3&lt;=69),
IF(Y3&lt;4,"Muy bajo",IF(Y3&lt;=7,"Bajo",IF(Y3&lt;=11,"Bueno",IF(Y3&lt;=16,"Bueno","Excelente")))),
IF(F3&gt;=70,
IF(Y3&lt;3,"Muy bajo",IF(Y3&lt;=5,"Bajo",IF(Y3&lt;=9,"Bueno",IF(Y3&lt;=13,"Bueno","Excelente")))),
"Edad fuera de rango")))))))</f>
        <v>Excelente</v>
      </c>
      <c r="AA3" s="10">
        <v>1.92</v>
      </c>
      <c r="AB3" s="9" t="str">
        <f t="shared" ref="AB3:AB20" si="0">IF(AA3&gt;=1.9,"Bueno","Malo")</f>
        <v>Bueno</v>
      </c>
      <c r="AC3" s="10">
        <v>2972</v>
      </c>
      <c r="AD3" s="10" t="str">
        <f>IF(F3&lt;30,
IF(AC3&lt;1600,"Malo",IF(AC3&lt;=2199,"Mala",IF(AC3&lt;=2399,"Malo",IF(AC3&lt;=2800,"Bueno","Excelente")))),
IF(AND(F3&gt;=30,F3&lt;40),
IF(AC3&lt;=1500,"Malo",IF(AC3&lt;=1899,"Mala",IF(AC3&lt;=2299,"Malo",IF(AC3&lt;=2700,"Bueno","Excelente")))),
IF(AND(F3&gt;=40,F3&lt;50),
IF(AC3&lt;=1400,"Malo",IF(AC3&lt;=1699,"Mala",IF(AC3&lt;=2099,"Malo",IF(AC3&lt;=2500,"Bueno","Excelente")))),
IF(F3&gt;=50,
IF(AC3&lt;=1300,"Malo",IF(AC3&lt;=1599,"Mala",IF(AC3&lt;=1999,"Malo",IF(AC3&lt;=2400,"Bueno","Excelente")))),
"Edad fuera de rango"))))</f>
        <v>Excelente</v>
      </c>
    </row>
    <row r="4" spans="1:30" x14ac:dyDescent="0.25">
      <c r="A4" s="10">
        <v>3</v>
      </c>
      <c r="B4" s="10" t="s">
        <v>20</v>
      </c>
      <c r="C4" s="19" t="s">
        <v>64</v>
      </c>
      <c r="D4" s="19" t="s">
        <v>32</v>
      </c>
      <c r="E4" s="19" t="s">
        <v>95</v>
      </c>
      <c r="F4" s="10">
        <v>16</v>
      </c>
      <c r="G4" s="10">
        <v>72.900000000000006</v>
      </c>
      <c r="H4" s="15">
        <v>1.83</v>
      </c>
      <c r="I4" s="8">
        <v>11</v>
      </c>
      <c r="J4" s="8">
        <v>9</v>
      </c>
      <c r="K4" s="8">
        <v>5</v>
      </c>
      <c r="L4" s="8">
        <v>17</v>
      </c>
      <c r="M4" s="8">
        <v>14</v>
      </c>
      <c r="N4" s="8">
        <v>9</v>
      </c>
      <c r="O4" s="8">
        <v>11</v>
      </c>
      <c r="P4" s="8">
        <v>29.5</v>
      </c>
      <c r="Q4" s="8">
        <v>34.5</v>
      </c>
      <c r="R4" s="8">
        <v>88</v>
      </c>
      <c r="S4" s="8">
        <v>77.5</v>
      </c>
      <c r="T4" s="8">
        <v>93</v>
      </c>
      <c r="U4" s="8">
        <v>57</v>
      </c>
      <c r="V4" s="8">
        <v>36</v>
      </c>
      <c r="W4" s="10">
        <v>33</v>
      </c>
      <c r="X4" s="10" t="str">
        <f>IF(W4&gt;30,"Excelente",IF(W4&gt;=26,"Bueno",IF(W4&gt;=20,"Bueno",IF(W4&gt;=17,"Malo","Pobre"))))</f>
        <v>Excelente</v>
      </c>
      <c r="Y4" s="10">
        <v>47</v>
      </c>
      <c r="Z4" s="10" t="str">
        <f>IF(AND(F4&gt;=15,F4&lt;=19),
IF(Y4&lt;18,"Muy bajo",IF(Y4&lt;=23,"Bajo",IF(Y4&lt;=29,"Bueno",IF(Y4&lt;=35,"Bueno","Excelente")))),
IF(AND(F4&gt;=20,F4&lt;=29),
IF(Y4&lt;16,"Muy bajo",IF(Y4&lt;=21,"Bajo",IF(Y4&lt;=27,"Bueno",IF(Y4&lt;=33,"Bueno","Excelente")))),
IF(AND(F4&gt;=30,F4&lt;=39),
IF(Y4&lt;11,"Muy bajo",IF(Y4&lt;=16,"Bajo",IF(Y4&lt;=21,"Bueno",IF(Y4&lt;=27,"Bueno","Excelente")))),
IF(AND(F4&gt;=40,F4&lt;=49),
IF(Y4&lt;8,"Muy bajo",IF(Y4&lt;=12,"Bajo",IF(Y4&lt;=15,"Bueno",IF(Y4&lt;=21,"Bueno","Excelente")))),
IF(AND(F4&gt;=50,F4&lt;=59),
IF(Y4&lt;5,"Muy bajo",IF(Y4&lt;=8,"Bajo",IF(Y4&lt;=12,"Bueno",IF(Y4&lt;=17,"Bueno","Excelente")))),
IF(AND(F4&gt;=60,F4&lt;=69),
IF(Y4&lt;4,"Muy bajo",IF(Y4&lt;=7,"Bajo",IF(Y4&lt;=11,"Bueno",IF(Y4&lt;=16,"Bueno","Excelente")))),
IF(F4&gt;=70,
IF(Y4&lt;3,"Muy bajo",IF(Y4&lt;=5,"Bajo",IF(Y4&lt;=9,"Bueno",IF(Y4&lt;=13,"Bueno","Excelente")))),
"Edad fuera de rango")))))))</f>
        <v>Excelente</v>
      </c>
      <c r="AA4" s="10">
        <v>2.36</v>
      </c>
      <c r="AB4" s="9" t="str">
        <f t="shared" si="0"/>
        <v>Bueno</v>
      </c>
      <c r="AC4" s="10">
        <v>2864</v>
      </c>
      <c r="AD4" s="10" t="str">
        <f>IF(F4&lt;30,
IF(AC4&lt;1600,"Malo",IF(AC4&lt;=2199,"Mala",IF(AC4&lt;=2399,"Malo",IF(AC4&lt;=2800,"Bueno","Excelente")))),
IF(AND(F4&gt;=30,F4&lt;40),
IF(AC4&lt;=1500,"Malo",IF(AC4&lt;=1899,"Mala",IF(AC4&lt;=2299,"Malo",IF(AC4&lt;=2700,"Bueno","Excelente")))),
IF(AND(F4&gt;=40,F4&lt;50),
IF(AC4&lt;=1400,"Malo",IF(AC4&lt;=1699,"Mala",IF(AC4&lt;=2099,"Malo",IF(AC4&lt;=2500,"Bueno","Excelente")))),
IF(F4&gt;=50,
IF(AC4&lt;=1300,"Malo",IF(AC4&lt;=1599,"Mala",IF(AC4&lt;=1999,"Malo",IF(AC4&lt;=2400,"Bueno","Excelente")))),
"Edad fuera de rango"))))</f>
        <v>Excelente</v>
      </c>
    </row>
    <row r="5" spans="1:30" x14ac:dyDescent="0.25">
      <c r="A5" s="10">
        <v>4</v>
      </c>
      <c r="B5" s="10" t="s">
        <v>20</v>
      </c>
      <c r="C5" s="19" t="s">
        <v>65</v>
      </c>
      <c r="D5" s="19" t="s">
        <v>32</v>
      </c>
      <c r="E5" s="19" t="s">
        <v>95</v>
      </c>
      <c r="F5" s="10">
        <v>16</v>
      </c>
      <c r="G5" s="10">
        <v>70.099999999999994</v>
      </c>
      <c r="H5" s="15">
        <v>1.86</v>
      </c>
      <c r="I5" s="8">
        <v>6</v>
      </c>
      <c r="J5" s="8">
        <v>8</v>
      </c>
      <c r="K5" s="8">
        <v>9</v>
      </c>
      <c r="L5" s="8">
        <v>4</v>
      </c>
      <c r="M5" s="8">
        <v>7</v>
      </c>
      <c r="N5" s="8">
        <v>8</v>
      </c>
      <c r="O5" s="8">
        <v>6</v>
      </c>
      <c r="P5" s="8">
        <v>27</v>
      </c>
      <c r="Q5" s="8">
        <v>32</v>
      </c>
      <c r="R5" s="8">
        <v>92</v>
      </c>
      <c r="S5" s="8">
        <v>78</v>
      </c>
      <c r="T5" s="8">
        <v>91</v>
      </c>
      <c r="U5" s="8">
        <v>50.5</v>
      </c>
      <c r="V5" s="8">
        <v>35</v>
      </c>
      <c r="W5" s="10">
        <v>28</v>
      </c>
      <c r="X5" s="10" t="str">
        <f>IF(W5&gt;30,"Excelente",IF(W5&gt;=26,"Bueno",IF(W5&gt;=20,"Bueno",IF(W5&gt;=17,"Malo","Pobre"))))</f>
        <v>Bueno</v>
      </c>
      <c r="Y5" s="10">
        <v>35</v>
      </c>
      <c r="Z5" s="10" t="str">
        <f>IF(AND(F5&gt;=15,F5&lt;=19),
IF(Y5&lt;18,"Muy bajo",IF(Y5&lt;=23,"Bajo",IF(Y5&lt;=29,"Bueno",IF(Y5&lt;=35,"Bueno","Excelente")))),
IF(AND(F5&gt;=20,F5&lt;=29),
IF(Y5&lt;16,"Muy bajo",IF(Y5&lt;=21,"Bajo",IF(Y5&lt;=27,"Bueno",IF(Y5&lt;=33,"Bueno","Excelente")))),
IF(AND(F5&gt;=30,F5&lt;=39),
IF(Y5&lt;11,"Muy bajo",IF(Y5&lt;=16,"Bajo",IF(Y5&lt;=21,"Bueno",IF(Y5&lt;=27,"Bueno","Excelente")))),
IF(AND(F5&gt;=40,F5&lt;=49),
IF(Y5&lt;8,"Muy bajo",IF(Y5&lt;=12,"Bajo",IF(Y5&lt;=15,"Bueno",IF(Y5&lt;=21,"Bueno","Excelente")))),
IF(AND(F5&gt;=50,F5&lt;=59),
IF(Y5&lt;5,"Muy bajo",IF(Y5&lt;=8,"Bajo",IF(Y5&lt;=12,"Bueno",IF(Y5&lt;=17,"Bueno","Excelente")))),
IF(AND(F5&gt;=60,F5&lt;=69),
IF(Y5&lt;4,"Muy bajo",IF(Y5&lt;=7,"Bajo",IF(Y5&lt;=11,"Bueno",IF(Y5&lt;=16,"Bueno","Excelente")))),
IF(F5&gt;=70,
IF(Y5&lt;3,"Muy bajo",IF(Y5&lt;=5,"Bajo",IF(Y5&lt;=9,"Bueno",IF(Y5&lt;=13,"Bueno","Excelente")))),
"Edad fuera de rango")))))))</f>
        <v>Bueno</v>
      </c>
      <c r="AA5" s="10">
        <v>2.27</v>
      </c>
      <c r="AB5" s="9" t="str">
        <f t="shared" si="0"/>
        <v>Bueno</v>
      </c>
      <c r="AC5" s="10">
        <v>3028</v>
      </c>
      <c r="AD5" s="10" t="str">
        <f>IF(F5&lt;30,
IF(AC5&lt;1600,"Malo",IF(AC5&lt;=2199,"Mala",IF(AC5&lt;=2399,"Malo",IF(AC5&lt;=2800,"Bueno","Excelente")))),
IF(AND(F5&gt;=30,F5&lt;40),
IF(AC5&lt;=1500,"Malo",IF(AC5&lt;=1899,"Mala",IF(AC5&lt;=2299,"Malo",IF(AC5&lt;=2700,"Bueno","Excelente")))),
IF(AND(F5&gt;=40,F5&lt;50),
IF(AC5&lt;=1400,"Malo",IF(AC5&lt;=1699,"Mala",IF(AC5&lt;=2099,"Malo",IF(AC5&lt;=2500,"Bueno","Excelente")))),
IF(F5&gt;=50,
IF(AC5&lt;=1300,"Malo",IF(AC5&lt;=1599,"Mala",IF(AC5&lt;=1999,"Malo",IF(AC5&lt;=2400,"Bueno","Excelente")))),
"Edad fuera de rango"))))</f>
        <v>Excelente</v>
      </c>
    </row>
    <row r="6" spans="1:30" x14ac:dyDescent="0.25">
      <c r="A6" s="10">
        <v>5</v>
      </c>
      <c r="B6" s="10" t="s">
        <v>20</v>
      </c>
      <c r="C6" s="19" t="s">
        <v>64</v>
      </c>
      <c r="D6" s="19" t="s">
        <v>30</v>
      </c>
      <c r="E6" s="19" t="s">
        <v>95</v>
      </c>
      <c r="F6" s="10">
        <v>16</v>
      </c>
      <c r="G6" s="10">
        <v>71.599999999999994</v>
      </c>
      <c r="H6" s="15">
        <v>1.86</v>
      </c>
      <c r="I6" s="8">
        <v>8</v>
      </c>
      <c r="J6" s="8">
        <v>8</v>
      </c>
      <c r="K6" s="8">
        <v>11</v>
      </c>
      <c r="L6" s="8">
        <v>5</v>
      </c>
      <c r="M6" s="8">
        <v>5</v>
      </c>
      <c r="N6" s="8">
        <v>8</v>
      </c>
      <c r="O6" s="8">
        <v>8</v>
      </c>
      <c r="P6" s="8">
        <v>27</v>
      </c>
      <c r="Q6" s="8">
        <v>32</v>
      </c>
      <c r="R6" s="8">
        <v>86</v>
      </c>
      <c r="S6" s="8">
        <v>74</v>
      </c>
      <c r="T6" s="8">
        <v>90</v>
      </c>
      <c r="U6" s="8">
        <v>54</v>
      </c>
      <c r="V6" s="8">
        <v>36</v>
      </c>
      <c r="W6" s="10">
        <v>24</v>
      </c>
      <c r="X6" s="10" t="str">
        <f>IF(W6&gt;30,"Excelente",IF(W6&gt;=26,"Bueno",IF(W6&gt;=20,"Bueno",IF(W6&gt;=17,"Malo","Pobre"))))</f>
        <v>Bueno</v>
      </c>
      <c r="Y6" s="10">
        <v>28</v>
      </c>
      <c r="Z6" s="10" t="str">
        <f>IF(AND(F6&gt;=15,F6&lt;=19),
IF(Y6&lt;18,"Muy bajo",IF(Y6&lt;=23,"Bajo",IF(Y6&lt;=29,"Bueno",IF(Y6&lt;=35,"Bueno","Excelente")))),
IF(AND(F6&gt;=20,F6&lt;=29),
IF(Y6&lt;16,"Muy bajo",IF(Y6&lt;=21,"Bajo",IF(Y6&lt;=27,"Bueno",IF(Y6&lt;=33,"Bueno","Excelente")))),
IF(AND(F6&gt;=30,F6&lt;=39),
IF(Y6&lt;11,"Muy bajo",IF(Y6&lt;=16,"Bajo",IF(Y6&lt;=21,"Bueno",IF(Y6&lt;=27,"Bueno","Excelente")))),
IF(AND(F6&gt;=40,F6&lt;=49),
IF(Y6&lt;8,"Muy bajo",IF(Y6&lt;=12,"Bajo",IF(Y6&lt;=15,"Bueno",IF(Y6&lt;=21,"Bueno","Excelente")))),
IF(AND(F6&gt;=50,F6&lt;=59),
IF(Y6&lt;5,"Muy bajo",IF(Y6&lt;=8,"Bajo",IF(Y6&lt;=12,"Bueno",IF(Y6&lt;=17,"Bueno","Excelente")))),
IF(AND(F6&gt;=60,F6&lt;=69),
IF(Y6&lt;4,"Muy bajo",IF(Y6&lt;=7,"Bajo",IF(Y6&lt;=11,"Bueno",IF(Y6&lt;=16,"Bueno","Excelente")))),
IF(F6&gt;=70,
IF(Y6&lt;3,"Muy bajo",IF(Y6&lt;=5,"Bajo",IF(Y6&lt;=9,"Bueno",IF(Y6&lt;=13,"Bueno","Excelente")))),
"Edad fuera de rango")))))))</f>
        <v>Bueno</v>
      </c>
      <c r="AA6" s="10">
        <v>2.0699999999999998</v>
      </c>
      <c r="AB6" s="9" t="str">
        <f t="shared" si="0"/>
        <v>Bueno</v>
      </c>
      <c r="AC6" s="10">
        <v>2864</v>
      </c>
      <c r="AD6" s="10" t="str">
        <f>IF(F6&lt;30,
IF(AC6&lt;1600,"Malo",IF(AC6&lt;=2199,"Mala",IF(AC6&lt;=2399,"Malo",IF(AC6&lt;=2800,"Bueno","Excelente")))),
IF(AND(F6&gt;=30,F6&lt;40),
IF(AC6&lt;=1500,"Malo",IF(AC6&lt;=1899,"Mala",IF(AC6&lt;=2299,"Malo",IF(AC6&lt;=2700,"Bueno","Excelente")))),
IF(AND(F6&gt;=40,F6&lt;50),
IF(AC6&lt;=1400,"Malo",IF(AC6&lt;=1699,"Mala",IF(AC6&lt;=2099,"Malo",IF(AC6&lt;=2500,"Bueno","Excelente")))),
IF(F6&gt;=50,
IF(AC6&lt;=1300,"Malo",IF(AC6&lt;=1599,"Mala",IF(AC6&lt;=1999,"Malo",IF(AC6&lt;=2400,"Bueno","Excelente")))),
"Edad fuera de rango"))))</f>
        <v>Excelente</v>
      </c>
    </row>
    <row r="7" spans="1:30" x14ac:dyDescent="0.25">
      <c r="A7" s="10">
        <v>6</v>
      </c>
      <c r="B7" s="10" t="s">
        <v>20</v>
      </c>
      <c r="C7" s="19" t="s">
        <v>66</v>
      </c>
      <c r="D7" s="19" t="s">
        <v>33</v>
      </c>
      <c r="E7" s="19" t="s">
        <v>95</v>
      </c>
      <c r="F7" s="10">
        <v>16</v>
      </c>
      <c r="G7" s="10">
        <v>75.8</v>
      </c>
      <c r="H7" s="15">
        <v>1.85</v>
      </c>
      <c r="I7" s="8">
        <v>13</v>
      </c>
      <c r="J7" s="8">
        <v>11</v>
      </c>
      <c r="K7" s="8">
        <v>13</v>
      </c>
      <c r="L7" s="8">
        <v>13</v>
      </c>
      <c r="M7" s="8">
        <v>11</v>
      </c>
      <c r="N7" s="8">
        <v>9</v>
      </c>
      <c r="O7" s="8">
        <v>10</v>
      </c>
      <c r="P7" s="8">
        <v>31</v>
      </c>
      <c r="Q7" s="8">
        <v>35</v>
      </c>
      <c r="R7" s="8">
        <v>89</v>
      </c>
      <c r="S7" s="8">
        <v>79</v>
      </c>
      <c r="T7" s="8">
        <v>93</v>
      </c>
      <c r="U7" s="8">
        <v>55</v>
      </c>
      <c r="V7" s="8">
        <v>36</v>
      </c>
      <c r="W7" s="10">
        <v>28</v>
      </c>
      <c r="X7" s="10" t="str">
        <f>IF(W7&gt;30,"Excelente",IF(W7&gt;=26,"Bueno",IF(W7&gt;=20,"Bueno",IF(W7&gt;=17,"Malo","Pobre"))))</f>
        <v>Bueno</v>
      </c>
      <c r="Y7" s="10">
        <v>37</v>
      </c>
      <c r="Z7" s="10" t="str">
        <f>IF(AND(F7&gt;=15,F7&lt;=19),
IF(Y7&lt;18,"Muy bajo",IF(Y7&lt;=23,"Bajo",IF(Y7&lt;=29,"Bueno",IF(Y7&lt;=35,"Bueno","Excelente")))),
IF(AND(F7&gt;=20,F7&lt;=29),
IF(Y7&lt;16,"Muy bajo",IF(Y7&lt;=21,"Bajo",IF(Y7&lt;=27,"Bueno",IF(Y7&lt;=33,"Bueno","Excelente")))),
IF(AND(F7&gt;=30,F7&lt;=39),
IF(Y7&lt;11,"Muy bajo",IF(Y7&lt;=16,"Bajo",IF(Y7&lt;=21,"Bueno",IF(Y7&lt;=27,"Bueno","Excelente")))),
IF(AND(F7&gt;=40,F7&lt;=49),
IF(Y7&lt;8,"Muy bajo",IF(Y7&lt;=12,"Bajo",IF(Y7&lt;=15,"Bueno",IF(Y7&lt;=21,"Bueno","Excelente")))),
IF(AND(F7&gt;=50,F7&lt;=59),
IF(Y7&lt;5,"Muy bajo",IF(Y7&lt;=8,"Bajo",IF(Y7&lt;=12,"Bueno",IF(Y7&lt;=17,"Bueno","Excelente")))),
IF(AND(F7&gt;=60,F7&lt;=69),
IF(Y7&lt;4,"Muy bajo",IF(Y7&lt;=7,"Bajo",IF(Y7&lt;=11,"Bueno",IF(Y7&lt;=16,"Bueno","Excelente")))),
IF(F7&gt;=70,
IF(Y7&lt;3,"Muy bajo",IF(Y7&lt;=5,"Bajo",IF(Y7&lt;=9,"Bueno",IF(Y7&lt;=13,"Bueno","Excelente")))),
"Edad fuera de rango")))))))</f>
        <v>Excelente</v>
      </c>
      <c r="AA7" s="10">
        <v>2.34</v>
      </c>
      <c r="AB7" s="9" t="str">
        <f t="shared" si="0"/>
        <v>Bueno</v>
      </c>
      <c r="AC7" s="10">
        <v>2605</v>
      </c>
      <c r="AD7" s="10" t="str">
        <f>IF(F7&lt;30,
IF(AC7&lt;1600,"Malo",IF(AC7&lt;=2199,"Mala",IF(AC7&lt;=2399,"Malo",IF(AC7&lt;=2800,"Bueno","Excelente")))),
IF(AND(F7&gt;=30,F7&lt;40),
IF(AC7&lt;=1500,"Malo",IF(AC7&lt;=1899,"Mala",IF(AC7&lt;=2299,"Malo",IF(AC7&lt;=2700,"Bueno","Excelente")))),
IF(AND(F7&gt;=40,F7&lt;50),
IF(AC7&lt;=1400,"Malo",IF(AC7&lt;=1699,"Mala",IF(AC7&lt;=2099,"Malo",IF(AC7&lt;=2500,"Bueno","Excelente")))),
IF(F7&gt;=50,
IF(AC7&lt;=1300,"Malo",IF(AC7&lt;=1599,"Mala",IF(AC7&lt;=1999,"Malo",IF(AC7&lt;=2400,"Bueno","Excelente")))),
"Edad fuera de rango"))))</f>
        <v>Bueno</v>
      </c>
    </row>
    <row r="8" spans="1:30" x14ac:dyDescent="0.25">
      <c r="A8" s="10">
        <v>7</v>
      </c>
      <c r="B8" s="10" t="s">
        <v>20</v>
      </c>
      <c r="C8" s="19" t="s">
        <v>67</v>
      </c>
      <c r="D8" s="19" t="s">
        <v>34</v>
      </c>
      <c r="E8" s="19" t="s">
        <v>95</v>
      </c>
      <c r="F8" s="10">
        <v>16</v>
      </c>
      <c r="G8" s="10">
        <v>63.4</v>
      </c>
      <c r="H8" s="15">
        <v>1.88</v>
      </c>
      <c r="I8" s="8">
        <v>8</v>
      </c>
      <c r="J8" s="8">
        <v>8</v>
      </c>
      <c r="K8" s="8">
        <v>13</v>
      </c>
      <c r="L8" s="8">
        <v>8</v>
      </c>
      <c r="M8" s="8">
        <v>10</v>
      </c>
      <c r="N8" s="8">
        <v>12</v>
      </c>
      <c r="O8" s="8">
        <v>1</v>
      </c>
      <c r="P8" s="8">
        <v>25.5</v>
      </c>
      <c r="Q8" s="8">
        <v>28.5</v>
      </c>
      <c r="R8" s="8">
        <v>83</v>
      </c>
      <c r="S8" s="8">
        <v>68</v>
      </c>
      <c r="T8" s="8">
        <v>90</v>
      </c>
      <c r="U8" s="8">
        <v>49</v>
      </c>
      <c r="V8" s="8">
        <v>34</v>
      </c>
      <c r="W8" s="10">
        <v>25</v>
      </c>
      <c r="X8" s="10" t="str">
        <f>IF(W8&gt;30,"Excelente",IF(W8&gt;=26,"Bueno",IF(W8&gt;=20,"Bueno",IF(W8&gt;=17,"Malo","Pobre"))))</f>
        <v>Bueno</v>
      </c>
      <c r="Y8" s="10">
        <v>27</v>
      </c>
      <c r="Z8" s="10" t="str">
        <f>IF(AND(F8&gt;=15,F8&lt;=19),
IF(Y8&lt;18,"Muy bajo",IF(Y8&lt;=23,"Bajo",IF(Y8&lt;=29,"Bueno",IF(Y8&lt;=35,"Bueno","Excelente")))),
IF(AND(F8&gt;=20,F8&lt;=29),
IF(Y8&lt;16,"Muy bajo",IF(Y8&lt;=21,"Bajo",IF(Y8&lt;=27,"Bueno",IF(Y8&lt;=33,"Bueno","Excelente")))),
IF(AND(F8&gt;=30,F8&lt;=39),
IF(Y8&lt;11,"Muy bajo",IF(Y8&lt;=16,"Bajo",IF(Y8&lt;=21,"Bueno",IF(Y8&lt;=27,"Bueno","Excelente")))),
IF(AND(F8&gt;=40,F8&lt;=49),
IF(Y8&lt;8,"Muy bajo",IF(Y8&lt;=12,"Bajo",IF(Y8&lt;=15,"Bueno",IF(Y8&lt;=21,"Bueno","Excelente")))),
IF(AND(F8&gt;=50,F8&lt;=59),
IF(Y8&lt;5,"Muy bajo",IF(Y8&lt;=8,"Bajo",IF(Y8&lt;=12,"Bueno",IF(Y8&lt;=17,"Bueno","Excelente")))),
IF(AND(F8&gt;=60,F8&lt;=69),
IF(Y8&lt;4,"Muy bajo",IF(Y8&lt;=7,"Bajo",IF(Y8&lt;=11,"Bueno",IF(Y8&lt;=16,"Bueno","Excelente")))),
IF(F8&gt;=70,
IF(Y8&lt;3,"Muy bajo",IF(Y8&lt;=5,"Bajo",IF(Y8&lt;=9,"Bueno",IF(Y8&lt;=13,"Bueno","Excelente")))),
"Edad fuera de rango")))))))</f>
        <v>Bueno</v>
      </c>
      <c r="AA8" s="10">
        <v>2.0699999999999998</v>
      </c>
      <c r="AB8" s="9" t="str">
        <f t="shared" si="0"/>
        <v>Bueno</v>
      </c>
      <c r="AC8" s="10">
        <v>2885</v>
      </c>
      <c r="AD8" s="10" t="str">
        <f>IF(F8&lt;30,
IF(AC8&lt;1600,"Malo",IF(AC8&lt;=2199,"Mala",IF(AC8&lt;=2399,"Malo",IF(AC8&lt;=2800,"Bueno","Excelente")))),
IF(AND(F8&gt;=30,F8&lt;40),
IF(AC8&lt;=1500,"Malo",IF(AC8&lt;=1899,"Mala",IF(AC8&lt;=2299,"Malo",IF(AC8&lt;=2700,"Bueno","Excelente")))),
IF(AND(F8&gt;=40,F8&lt;50),
IF(AC8&lt;=1400,"Malo",IF(AC8&lt;=1699,"Mala",IF(AC8&lt;=2099,"Malo",IF(AC8&lt;=2500,"Bueno","Excelente")))),
IF(F8&gt;=50,
IF(AC8&lt;=1300,"Malo",IF(AC8&lt;=1599,"Mala",IF(AC8&lt;=1999,"Malo",IF(AC8&lt;=2400,"Bueno","Excelente")))),
"Edad fuera de rango"))))</f>
        <v>Excelente</v>
      </c>
    </row>
    <row r="9" spans="1:30" x14ac:dyDescent="0.25">
      <c r="A9" s="10">
        <v>8</v>
      </c>
      <c r="B9" s="10" t="s">
        <v>20</v>
      </c>
      <c r="C9" s="19" t="s">
        <v>68</v>
      </c>
      <c r="D9" s="19" t="s">
        <v>35</v>
      </c>
      <c r="E9" s="19" t="s">
        <v>95</v>
      </c>
      <c r="F9" s="10">
        <v>17</v>
      </c>
      <c r="G9" s="10">
        <v>59.9</v>
      </c>
      <c r="H9" s="18">
        <v>166</v>
      </c>
      <c r="I9" s="8">
        <v>9</v>
      </c>
      <c r="J9" s="8">
        <v>13</v>
      </c>
      <c r="K9" s="8">
        <v>14</v>
      </c>
      <c r="L9" s="8">
        <v>5</v>
      </c>
      <c r="M9" s="8">
        <v>14</v>
      </c>
      <c r="N9" s="8">
        <v>11</v>
      </c>
      <c r="O9" s="8">
        <v>7</v>
      </c>
      <c r="P9" s="8">
        <v>27.5</v>
      </c>
      <c r="Q9" s="8">
        <v>29</v>
      </c>
      <c r="R9" s="8">
        <v>82.5</v>
      </c>
      <c r="S9" s="8">
        <v>74.5</v>
      </c>
      <c r="T9" s="8">
        <v>90</v>
      </c>
      <c r="U9" s="8">
        <v>52</v>
      </c>
      <c r="V9" s="8">
        <v>35</v>
      </c>
      <c r="W9" s="10">
        <v>30</v>
      </c>
      <c r="X9" s="10" t="str">
        <f>IF(W9&gt;30,"Excelente",IF(W9&gt;=26,"Bueno",IF(W9&gt;=20,"Bueno",IF(W9&gt;=17,"Malo","Pobre"))))</f>
        <v>Bueno</v>
      </c>
      <c r="Y9" s="10">
        <v>42</v>
      </c>
      <c r="Z9" s="10" t="str">
        <f>IF(AND(F9&gt;=15,F9&lt;=19),
IF(Y9&lt;18,"Muy bajo",IF(Y9&lt;=23,"Bajo",IF(Y9&lt;=29,"Bueno",IF(Y9&lt;=35,"Bueno","Excelente")))),
IF(AND(F9&gt;=20,F9&lt;=29),
IF(Y9&lt;16,"Muy bajo",IF(Y9&lt;=21,"Bajo",IF(Y9&lt;=27,"Bueno",IF(Y9&lt;=33,"Bueno","Excelente")))),
IF(AND(F9&gt;=30,F9&lt;=39),
IF(Y9&lt;11,"Muy bajo",IF(Y9&lt;=16,"Bajo",IF(Y9&lt;=21,"Bueno",IF(Y9&lt;=27,"Bueno","Excelente")))),
IF(AND(F9&gt;=40,F9&lt;=49),
IF(Y9&lt;8,"Muy bajo",IF(Y9&lt;=12,"Bajo",IF(Y9&lt;=15,"Bueno",IF(Y9&lt;=21,"Bueno","Excelente")))),
IF(AND(F9&gt;=50,F9&lt;=59),
IF(Y9&lt;5,"Muy bajo",IF(Y9&lt;=8,"Bajo",IF(Y9&lt;=12,"Bueno",IF(Y9&lt;=17,"Bueno","Excelente")))),
IF(AND(F9&gt;=60,F9&lt;=69),
IF(Y9&lt;4,"Muy bajo",IF(Y9&lt;=7,"Bajo",IF(Y9&lt;=11,"Bueno",IF(Y9&lt;=16,"Bueno","Excelente")))),
IF(F9&gt;=70,
IF(Y9&lt;3,"Muy bajo",IF(Y9&lt;=5,"Bajo",IF(Y9&lt;=9,"Bueno",IF(Y9&lt;=13,"Bueno","Excelente")))),
"Edad fuera de rango")))))))</f>
        <v>Excelente</v>
      </c>
      <c r="AA9" s="10">
        <v>1.88</v>
      </c>
      <c r="AB9" s="9" t="str">
        <f t="shared" si="0"/>
        <v>Malo</v>
      </c>
      <c r="AC9" s="10">
        <v>2725</v>
      </c>
      <c r="AD9" s="10" t="str">
        <f>IF(F9&lt;30,
IF(AC9&lt;1600,"Malo",IF(AC9&lt;=2199,"Mala",IF(AC9&lt;=2399,"Malo",IF(AC9&lt;=2800,"Bueno","Excelente")))),
IF(AND(F9&gt;=30,F9&lt;40),
IF(AC9&lt;=1500,"Malo",IF(AC9&lt;=1899,"Mala",IF(AC9&lt;=2299,"Malo",IF(AC9&lt;=2700,"Bueno","Excelente")))),
IF(AND(F9&gt;=40,F9&lt;50),
IF(AC9&lt;=1400,"Malo",IF(AC9&lt;=1699,"Mala",IF(AC9&lt;=2099,"Malo",IF(AC9&lt;=2500,"Bueno","Excelente")))),
IF(F9&gt;=50,
IF(AC9&lt;=1300,"Malo",IF(AC9&lt;=1599,"Mala",IF(AC9&lt;=1999,"Malo",IF(AC9&lt;=2400,"Bueno","Excelente")))),
"Edad fuera de rango"))))</f>
        <v>Bueno</v>
      </c>
    </row>
    <row r="10" spans="1:30" x14ac:dyDescent="0.25">
      <c r="A10" s="10">
        <v>9</v>
      </c>
      <c r="B10" s="10" t="s">
        <v>20</v>
      </c>
      <c r="C10" s="19" t="s">
        <v>69</v>
      </c>
      <c r="D10" s="19" t="s">
        <v>36</v>
      </c>
      <c r="E10" s="19" t="s">
        <v>95</v>
      </c>
      <c r="F10" s="10">
        <v>16</v>
      </c>
      <c r="G10" s="13">
        <v>62</v>
      </c>
      <c r="H10" s="15">
        <v>1.74</v>
      </c>
      <c r="I10" s="8">
        <v>6</v>
      </c>
      <c r="J10" s="8">
        <v>7</v>
      </c>
      <c r="K10" s="8">
        <v>5</v>
      </c>
      <c r="L10" s="8">
        <v>6</v>
      </c>
      <c r="M10" s="8">
        <v>9</v>
      </c>
      <c r="N10" s="8">
        <v>11</v>
      </c>
      <c r="O10" s="8">
        <v>14</v>
      </c>
      <c r="P10" s="8">
        <v>27</v>
      </c>
      <c r="Q10" s="8">
        <v>29.5</v>
      </c>
      <c r="R10" s="8">
        <v>85</v>
      </c>
      <c r="S10" s="8">
        <v>74.5</v>
      </c>
      <c r="T10" s="8">
        <v>85</v>
      </c>
      <c r="U10" s="8">
        <v>50</v>
      </c>
      <c r="V10" s="8">
        <v>35</v>
      </c>
      <c r="W10" s="10">
        <v>33</v>
      </c>
      <c r="X10" s="10" t="str">
        <f>IF(W10&gt;30,"Excelente",IF(W10&gt;=26,"Bueno",IF(W10&gt;=20,"Bueno",IF(W10&gt;=17,"Malo","Pobre"))))</f>
        <v>Excelente</v>
      </c>
      <c r="Y10" s="10">
        <v>33</v>
      </c>
      <c r="Z10" s="10" t="str">
        <f>IF(AND(F10&gt;=15,F10&lt;=19),
IF(Y10&lt;18,"Muy bajo",IF(Y10&lt;=23,"Bajo",IF(Y10&lt;=29,"Bueno",IF(Y10&lt;=35,"Bueno","Excelente")))),
IF(AND(F10&gt;=20,F10&lt;=29),
IF(Y10&lt;16,"Muy bajo",IF(Y10&lt;=21,"Bajo",IF(Y10&lt;=27,"Bueno",IF(Y10&lt;=33,"Bueno","Excelente")))),
IF(AND(F10&gt;=30,F10&lt;=39),
IF(Y10&lt;11,"Muy bajo",IF(Y10&lt;=16,"Bajo",IF(Y10&lt;=21,"Bueno",IF(Y10&lt;=27,"Bueno","Excelente")))),
IF(AND(F10&gt;=40,F10&lt;=49),
IF(Y10&lt;8,"Muy bajo",IF(Y10&lt;=12,"Bajo",IF(Y10&lt;=15,"Bueno",IF(Y10&lt;=21,"Bueno","Excelente")))),
IF(AND(F10&gt;=50,F10&lt;=59),
IF(Y10&lt;5,"Muy bajo",IF(Y10&lt;=8,"Bajo",IF(Y10&lt;=12,"Bueno",IF(Y10&lt;=17,"Bueno","Excelente")))),
IF(AND(F10&gt;=60,F10&lt;=69),
IF(Y10&lt;4,"Muy bajo",IF(Y10&lt;=7,"Bajo",IF(Y10&lt;=11,"Bueno",IF(Y10&lt;=16,"Bueno","Excelente")))),
IF(F10&gt;=70,
IF(Y10&lt;3,"Muy bajo",IF(Y10&lt;=5,"Bajo",IF(Y10&lt;=9,"Bueno",IF(Y10&lt;=13,"Bueno","Excelente")))),
"Edad fuera de rango")))))))</f>
        <v>Bueno</v>
      </c>
      <c r="AA10" s="10">
        <v>1.87</v>
      </c>
      <c r="AB10" s="9" t="str">
        <f t="shared" si="0"/>
        <v>Malo</v>
      </c>
      <c r="AC10" s="10">
        <v>2760</v>
      </c>
      <c r="AD10" s="10" t="str">
        <f>IF(F10&lt;30,
IF(AC10&lt;1600,"Malo",IF(AC10&lt;=2199,"Mala",IF(AC10&lt;=2399,"Malo",IF(AC10&lt;=2800,"Bueno","Excelente")))),
IF(AND(F10&gt;=30,F10&lt;40),
IF(AC10&lt;=1500,"Malo",IF(AC10&lt;=1899,"Mala",IF(AC10&lt;=2299,"Malo",IF(AC10&lt;=2700,"Bueno","Excelente")))),
IF(AND(F10&gt;=40,F10&lt;50),
IF(AC10&lt;=1400,"Malo",IF(AC10&lt;=1699,"Mala",IF(AC10&lt;=2099,"Malo",IF(AC10&lt;=2500,"Bueno","Excelente")))),
IF(F10&gt;=50,
IF(AC10&lt;=1300,"Malo",IF(AC10&lt;=1599,"Mala",IF(AC10&lt;=1999,"Malo",IF(AC10&lt;=2400,"Bueno","Excelente")))),
"Edad fuera de rango"))))</f>
        <v>Bueno</v>
      </c>
    </row>
    <row r="11" spans="1:30" x14ac:dyDescent="0.25">
      <c r="A11" s="10">
        <v>10</v>
      </c>
      <c r="B11" s="10" t="s">
        <v>20</v>
      </c>
      <c r="C11" s="19" t="s">
        <v>70</v>
      </c>
      <c r="D11" s="19" t="s">
        <v>37</v>
      </c>
      <c r="E11" s="19" t="s">
        <v>95</v>
      </c>
      <c r="F11" s="10">
        <v>16</v>
      </c>
      <c r="G11" s="10">
        <v>78.2</v>
      </c>
      <c r="H11" s="16">
        <v>181</v>
      </c>
      <c r="I11" s="8">
        <v>14</v>
      </c>
      <c r="J11" s="8">
        <v>9</v>
      </c>
      <c r="K11" s="8">
        <v>14</v>
      </c>
      <c r="L11" s="8">
        <v>8</v>
      </c>
      <c r="M11" s="8">
        <v>14</v>
      </c>
      <c r="N11" s="8">
        <v>14</v>
      </c>
      <c r="O11" s="8">
        <v>15</v>
      </c>
      <c r="P11" s="8">
        <v>31.5</v>
      </c>
      <c r="Q11" s="8">
        <v>35</v>
      </c>
      <c r="R11" s="8">
        <v>95</v>
      </c>
      <c r="S11" s="8">
        <v>80</v>
      </c>
      <c r="T11" s="8">
        <v>93</v>
      </c>
      <c r="U11" s="8">
        <v>56</v>
      </c>
      <c r="V11" s="8">
        <v>38</v>
      </c>
      <c r="W11" s="10">
        <v>33</v>
      </c>
      <c r="X11" s="10" t="str">
        <f>IF(W11&gt;30,"Excelente",IF(W11&gt;=26,"Bueno",IF(W11&gt;=20,"Bueno",IF(W11&gt;=17,"Malo","Pobre"))))</f>
        <v>Excelente</v>
      </c>
      <c r="Y11" s="10">
        <v>44</v>
      </c>
      <c r="Z11" s="10" t="str">
        <f>IF(AND(F11&gt;=15,F11&lt;=19),
IF(Y11&lt;18,"Muy bajo",IF(Y11&lt;=23,"Bajo",IF(Y11&lt;=29,"Bueno",IF(Y11&lt;=35,"Bueno","Excelente")))),
IF(AND(F11&gt;=20,F11&lt;=29),
IF(Y11&lt;16,"Muy bajo",IF(Y11&lt;=21,"Bajo",IF(Y11&lt;=27,"Bueno",IF(Y11&lt;=33,"Bueno","Excelente")))),
IF(AND(F11&gt;=30,F11&lt;=39),
IF(Y11&lt;11,"Muy bajo",IF(Y11&lt;=16,"Bajo",IF(Y11&lt;=21,"Bueno",IF(Y11&lt;=27,"Bueno","Excelente")))),
IF(AND(F11&gt;=40,F11&lt;=49),
IF(Y11&lt;8,"Muy bajo",IF(Y11&lt;=12,"Bajo",IF(Y11&lt;=15,"Bueno",IF(Y11&lt;=21,"Bueno","Excelente")))),
IF(AND(F11&gt;=50,F11&lt;=59),
IF(Y11&lt;5,"Muy bajo",IF(Y11&lt;=8,"Bajo",IF(Y11&lt;=12,"Bueno",IF(Y11&lt;=17,"Bueno","Excelente")))),
IF(AND(F11&gt;=60,F11&lt;=69),
IF(Y11&lt;4,"Muy bajo",IF(Y11&lt;=7,"Bajo",IF(Y11&lt;=11,"Bueno",IF(Y11&lt;=16,"Bueno","Excelente")))),
IF(F11&gt;=70,
IF(Y11&lt;3,"Muy bajo",IF(Y11&lt;=5,"Bajo",IF(Y11&lt;=9,"Bueno",IF(Y11&lt;=13,"Bueno","Excelente")))),
"Edad fuera de rango")))))))</f>
        <v>Excelente</v>
      </c>
      <c r="AA11" s="10">
        <v>2.09</v>
      </c>
      <c r="AB11" s="9" t="str">
        <f t="shared" si="0"/>
        <v>Bueno</v>
      </c>
      <c r="AC11" s="10">
        <v>2904</v>
      </c>
      <c r="AD11" s="10" t="str">
        <f>IF(F11&lt;30,
IF(AC11&lt;1600,"Malo",IF(AC11&lt;=2199,"Mala",IF(AC11&lt;=2399,"Malo",IF(AC11&lt;=2800,"Bueno","Excelente")))),
IF(AND(F11&gt;=30,F11&lt;40),
IF(AC11&lt;=1500,"Malo",IF(AC11&lt;=1899,"Mala",IF(AC11&lt;=2299,"Malo",IF(AC11&lt;=2700,"Bueno","Excelente")))),
IF(AND(F11&gt;=40,F11&lt;50),
IF(AC11&lt;=1400,"Malo",IF(AC11&lt;=1699,"Mala",IF(AC11&lt;=2099,"Malo",IF(AC11&lt;=2500,"Bueno","Excelente")))),
IF(F11&gt;=50,
IF(AC11&lt;=1300,"Malo",IF(AC11&lt;=1599,"Mala",IF(AC11&lt;=1999,"Malo",IF(AC11&lt;=2400,"Bueno","Excelente")))),
"Edad fuera de rango"))))</f>
        <v>Excelente</v>
      </c>
    </row>
    <row r="12" spans="1:30" x14ac:dyDescent="0.25">
      <c r="A12" s="10">
        <v>11</v>
      </c>
      <c r="B12" s="10" t="s">
        <v>20</v>
      </c>
      <c r="C12" s="19" t="s">
        <v>71</v>
      </c>
      <c r="D12" s="19" t="s">
        <v>38</v>
      </c>
      <c r="E12" s="19" t="s">
        <v>95</v>
      </c>
      <c r="F12" s="10">
        <v>17</v>
      </c>
      <c r="G12" s="10">
        <v>64.099999999999994</v>
      </c>
      <c r="H12" s="15">
        <v>1.69</v>
      </c>
      <c r="I12" s="8">
        <v>8</v>
      </c>
      <c r="J12" s="8">
        <v>8</v>
      </c>
      <c r="K12" s="8">
        <v>13</v>
      </c>
      <c r="L12" s="8">
        <v>6</v>
      </c>
      <c r="M12" s="8">
        <v>8</v>
      </c>
      <c r="N12" s="8">
        <v>16</v>
      </c>
      <c r="O12" s="8">
        <v>8</v>
      </c>
      <c r="P12" s="8">
        <v>27</v>
      </c>
      <c r="Q12" s="8">
        <v>29.5</v>
      </c>
      <c r="R12" s="8">
        <v>85</v>
      </c>
      <c r="S12" s="8">
        <v>72</v>
      </c>
      <c r="T12" s="8">
        <v>92</v>
      </c>
      <c r="U12" s="8">
        <v>56</v>
      </c>
      <c r="V12" s="8">
        <v>37</v>
      </c>
      <c r="W12" s="10">
        <v>30</v>
      </c>
      <c r="X12" s="10" t="str">
        <f>IF(W12&gt;30,"Excelente",IF(W12&gt;=26,"Bueno",IF(W12&gt;=20,"Bueno",IF(W12&gt;=17,"Malo","Pobre"))))</f>
        <v>Bueno</v>
      </c>
      <c r="Y12" s="10">
        <v>60</v>
      </c>
      <c r="Z12" s="10" t="str">
        <f>IF(AND(F12&gt;=15,F12&lt;=19),
IF(Y12&lt;18,"Muy bajo",IF(Y12&lt;=23,"Bajo",IF(Y12&lt;=29,"Bueno",IF(Y12&lt;=35,"Bueno","Excelente")))),
IF(AND(F12&gt;=20,F12&lt;=29),
IF(Y12&lt;16,"Muy bajo",IF(Y12&lt;=21,"Bajo",IF(Y12&lt;=27,"Bueno",IF(Y12&lt;=33,"Bueno","Excelente")))),
IF(AND(F12&gt;=30,F12&lt;=39),
IF(Y12&lt;11,"Muy bajo",IF(Y12&lt;=16,"Bajo",IF(Y12&lt;=21,"Bueno",IF(Y12&lt;=27,"Bueno","Excelente")))),
IF(AND(F12&gt;=40,F12&lt;=49),
IF(Y12&lt;8,"Muy bajo",IF(Y12&lt;=12,"Bajo",IF(Y12&lt;=15,"Bueno",IF(Y12&lt;=21,"Bueno","Excelente")))),
IF(AND(F12&gt;=50,F12&lt;=59),
IF(Y12&lt;5,"Muy bajo",IF(Y12&lt;=8,"Bajo",IF(Y12&lt;=12,"Bueno",IF(Y12&lt;=17,"Bueno","Excelente")))),
IF(AND(F12&gt;=60,F12&lt;=69),
IF(Y12&lt;4,"Muy bajo",IF(Y12&lt;=7,"Bajo",IF(Y12&lt;=11,"Bueno",IF(Y12&lt;=16,"Bueno","Excelente")))),
IF(F12&gt;=70,
IF(Y12&lt;3,"Muy bajo",IF(Y12&lt;=5,"Bajo",IF(Y12&lt;=9,"Bueno",IF(Y12&lt;=13,"Bueno","Excelente")))),
"Edad fuera de rango")))))))</f>
        <v>Excelente</v>
      </c>
      <c r="AA12" s="10">
        <v>1.88</v>
      </c>
      <c r="AB12" s="9" t="str">
        <f t="shared" si="0"/>
        <v>Malo</v>
      </c>
      <c r="AC12" s="10">
        <v>2962</v>
      </c>
      <c r="AD12" s="10" t="str">
        <f>IF(F12&lt;30,
IF(AC12&lt;1600,"Malo",IF(AC12&lt;=2199,"Mala",IF(AC12&lt;=2399,"Malo",IF(AC12&lt;=2800,"Bueno","Excelente")))),
IF(AND(F12&gt;=30,F12&lt;40),
IF(AC12&lt;=1500,"Malo",IF(AC12&lt;=1899,"Mala",IF(AC12&lt;=2299,"Malo",IF(AC12&lt;=2700,"Bueno","Excelente")))),
IF(AND(F12&gt;=40,F12&lt;50),
IF(AC12&lt;=1400,"Malo",IF(AC12&lt;=1699,"Mala",IF(AC12&lt;=2099,"Malo",IF(AC12&lt;=2500,"Bueno","Excelente")))),
IF(F12&gt;=50,
IF(AC12&lt;=1300,"Malo",IF(AC12&lt;=1599,"Mala",IF(AC12&lt;=1999,"Malo",IF(AC12&lt;=2400,"Bueno","Excelente")))),
"Edad fuera de rango"))))</f>
        <v>Excelente</v>
      </c>
    </row>
    <row r="13" spans="1:30" x14ac:dyDescent="0.25">
      <c r="A13" s="10">
        <v>12</v>
      </c>
      <c r="B13" s="10" t="s">
        <v>20</v>
      </c>
      <c r="C13" s="19" t="s">
        <v>72</v>
      </c>
      <c r="D13" s="19" t="s">
        <v>39</v>
      </c>
      <c r="E13" s="19" t="s">
        <v>95</v>
      </c>
      <c r="F13" s="10">
        <v>16</v>
      </c>
      <c r="G13" s="10">
        <v>55.7</v>
      </c>
      <c r="H13" s="15">
        <v>1.7</v>
      </c>
      <c r="I13" s="8">
        <v>6</v>
      </c>
      <c r="J13" s="8">
        <v>7</v>
      </c>
      <c r="K13" s="8">
        <v>9</v>
      </c>
      <c r="L13" s="8">
        <v>5</v>
      </c>
      <c r="M13" s="8">
        <v>7</v>
      </c>
      <c r="N13" s="8">
        <v>11</v>
      </c>
      <c r="O13" s="8">
        <v>8</v>
      </c>
      <c r="P13" s="8">
        <v>25.5</v>
      </c>
      <c r="Q13" s="8">
        <v>30</v>
      </c>
      <c r="R13" s="8">
        <v>83</v>
      </c>
      <c r="S13" s="8">
        <v>71</v>
      </c>
      <c r="T13" s="8">
        <v>87</v>
      </c>
      <c r="U13" s="8">
        <v>47.5</v>
      </c>
      <c r="V13" s="8">
        <v>32.5</v>
      </c>
      <c r="W13" s="10">
        <v>36</v>
      </c>
      <c r="X13" s="10" t="str">
        <f>IF(W13&gt;30,"Excelente",IF(W13&gt;=26,"Bueno",IF(W13&gt;=20,"Bueno",IF(W13&gt;=17,"Malo","Pobre"))))</f>
        <v>Excelente</v>
      </c>
      <c r="Y13" s="10">
        <v>42</v>
      </c>
      <c r="Z13" s="10" t="str">
        <f>IF(AND(F13&gt;=15,F13&lt;=19),
IF(Y13&lt;18,"Muy bajo",IF(Y13&lt;=23,"Bajo",IF(Y13&lt;=29,"Bueno",IF(Y13&lt;=35,"Bueno","Excelente")))),
IF(AND(F13&gt;=20,F13&lt;=29),
IF(Y13&lt;16,"Muy bajo",IF(Y13&lt;=21,"Bajo",IF(Y13&lt;=27,"Bueno",IF(Y13&lt;=33,"Bueno","Excelente")))),
IF(AND(F13&gt;=30,F13&lt;=39),
IF(Y13&lt;11,"Muy bajo",IF(Y13&lt;=16,"Bajo",IF(Y13&lt;=21,"Bueno",IF(Y13&lt;=27,"Bueno","Excelente")))),
IF(AND(F13&gt;=40,F13&lt;=49),
IF(Y13&lt;8,"Muy bajo",IF(Y13&lt;=12,"Bajo",IF(Y13&lt;=15,"Bueno",IF(Y13&lt;=21,"Bueno","Excelente")))),
IF(AND(F13&gt;=50,F13&lt;=59),
IF(Y13&lt;5,"Muy bajo",IF(Y13&lt;=8,"Bajo",IF(Y13&lt;=12,"Bueno",IF(Y13&lt;=17,"Bueno","Excelente")))),
IF(AND(F13&gt;=60,F13&lt;=69),
IF(Y13&lt;4,"Muy bajo",IF(Y13&lt;=7,"Bajo",IF(Y13&lt;=11,"Bueno",IF(Y13&lt;=16,"Bueno","Excelente")))),
IF(F13&gt;=70,
IF(Y13&lt;3,"Muy bajo",IF(Y13&lt;=5,"Bajo",IF(Y13&lt;=9,"Bueno",IF(Y13&lt;=13,"Bueno","Excelente")))),
"Edad fuera de rango")))))))</f>
        <v>Excelente</v>
      </c>
      <c r="AA13" s="10">
        <v>2.0699999999999998</v>
      </c>
      <c r="AB13" s="9" t="str">
        <f t="shared" si="0"/>
        <v>Bueno</v>
      </c>
      <c r="AC13" s="10">
        <v>3165</v>
      </c>
      <c r="AD13" s="10" t="str">
        <f>IF(F13&lt;30,
IF(AC13&lt;1600,"Malo",IF(AC13&lt;=2199,"Mala",IF(AC13&lt;=2399,"Malo",IF(AC13&lt;=2800,"Bueno","Excelente")))),
IF(AND(F13&gt;=30,F13&lt;40),
IF(AC13&lt;=1500,"Malo",IF(AC13&lt;=1899,"Mala",IF(AC13&lt;=2299,"Malo",IF(AC13&lt;=2700,"Bueno","Excelente")))),
IF(AND(F13&gt;=40,F13&lt;50),
IF(AC13&lt;=1400,"Malo",IF(AC13&lt;=1699,"Mala",IF(AC13&lt;=2099,"Malo",IF(AC13&lt;=2500,"Bueno","Excelente")))),
IF(F13&gt;=50,
IF(AC13&lt;=1300,"Malo",IF(AC13&lt;=1599,"Mala",IF(AC13&lt;=1999,"Malo",IF(AC13&lt;=2400,"Bueno","Excelente")))),
"Edad fuera de rango"))))</f>
        <v>Excelente</v>
      </c>
    </row>
    <row r="14" spans="1:30" x14ac:dyDescent="0.25">
      <c r="A14" s="10">
        <v>13</v>
      </c>
      <c r="B14" s="10" t="s">
        <v>20</v>
      </c>
      <c r="C14" s="19" t="s">
        <v>73</v>
      </c>
      <c r="D14" s="19" t="s">
        <v>40</v>
      </c>
      <c r="E14" s="19" t="s">
        <v>95</v>
      </c>
      <c r="F14" s="10">
        <v>17</v>
      </c>
      <c r="G14" s="10">
        <v>70.900000000000006</v>
      </c>
      <c r="H14" s="15">
        <v>1.77</v>
      </c>
      <c r="I14" s="8">
        <v>9</v>
      </c>
      <c r="J14" s="8">
        <v>10</v>
      </c>
      <c r="K14" s="8">
        <v>10</v>
      </c>
      <c r="L14" s="8">
        <v>8</v>
      </c>
      <c r="M14" s="8">
        <v>10</v>
      </c>
      <c r="N14" s="8">
        <v>8</v>
      </c>
      <c r="O14" s="8">
        <v>11</v>
      </c>
      <c r="P14" s="8">
        <v>28</v>
      </c>
      <c r="Q14" s="8">
        <v>32.5</v>
      </c>
      <c r="R14" s="8">
        <v>89</v>
      </c>
      <c r="S14" s="8">
        <v>77</v>
      </c>
      <c r="T14" s="8">
        <v>96</v>
      </c>
      <c r="U14" s="8">
        <v>57</v>
      </c>
      <c r="V14" s="8">
        <v>38</v>
      </c>
      <c r="W14" s="10">
        <v>35</v>
      </c>
      <c r="X14" s="10" t="str">
        <f>IF(W14&gt;30,"Excelente",IF(W14&gt;=26,"Bueno",IF(W14&gt;=20,"Bueno",IF(W14&gt;=17,"Malo","Pobre"))))</f>
        <v>Excelente</v>
      </c>
      <c r="Y14" s="10">
        <v>42</v>
      </c>
      <c r="Z14" s="10" t="str">
        <f>IF(AND(F14&gt;=15,F14&lt;=19),
IF(Y14&lt;18,"Muy bajo",IF(Y14&lt;=23,"Bajo",IF(Y14&lt;=29,"Bueno",IF(Y14&lt;=35,"Bueno","Excelente")))),
IF(AND(F14&gt;=20,F14&lt;=29),
IF(Y14&lt;16,"Muy bajo",IF(Y14&lt;=21,"Bajo",IF(Y14&lt;=27,"Bueno",IF(Y14&lt;=33,"Bueno","Excelente")))),
IF(AND(F14&gt;=30,F14&lt;=39),
IF(Y14&lt;11,"Muy bajo",IF(Y14&lt;=16,"Bajo",IF(Y14&lt;=21,"Bueno",IF(Y14&lt;=27,"Bueno","Excelente")))),
IF(AND(F14&gt;=40,F14&lt;=49),
IF(Y14&lt;8,"Muy bajo",IF(Y14&lt;=12,"Bajo",IF(Y14&lt;=15,"Bueno",IF(Y14&lt;=21,"Bueno","Excelente")))),
IF(AND(F14&gt;=50,F14&lt;=59),
IF(Y14&lt;5,"Muy bajo",IF(Y14&lt;=8,"Bajo",IF(Y14&lt;=12,"Bueno",IF(Y14&lt;=17,"Bueno","Excelente")))),
IF(AND(F14&gt;=60,F14&lt;=69),
IF(Y14&lt;4,"Muy bajo",IF(Y14&lt;=7,"Bajo",IF(Y14&lt;=11,"Bueno",IF(Y14&lt;=16,"Bueno","Excelente")))),
IF(F14&gt;=70,
IF(Y14&lt;3,"Muy bajo",IF(Y14&lt;=5,"Bajo",IF(Y14&lt;=9,"Bueno",IF(Y14&lt;=13,"Bueno","Excelente")))),
"Edad fuera de rango")))))))</f>
        <v>Excelente</v>
      </c>
      <c r="AA14" s="10">
        <v>1.99</v>
      </c>
      <c r="AB14" s="9" t="str">
        <f t="shared" si="0"/>
        <v>Bueno</v>
      </c>
      <c r="AC14" s="10">
        <v>2786</v>
      </c>
      <c r="AD14" s="10" t="str">
        <f>IF(F14&lt;30,
IF(AC14&lt;1600,"Malo",IF(AC14&lt;=2199,"Mala",IF(AC14&lt;=2399,"Malo",IF(AC14&lt;=2800,"Bueno","Excelente")))),
IF(AND(F14&gt;=30,F14&lt;40),
IF(AC14&lt;=1500,"Malo",IF(AC14&lt;=1899,"Mala",IF(AC14&lt;=2299,"Malo",IF(AC14&lt;=2700,"Bueno","Excelente")))),
IF(AND(F14&gt;=40,F14&lt;50),
IF(AC14&lt;=1400,"Malo",IF(AC14&lt;=1699,"Mala",IF(AC14&lt;=2099,"Malo",IF(AC14&lt;=2500,"Bueno","Excelente")))),
IF(F14&gt;=50,
IF(AC14&lt;=1300,"Malo",IF(AC14&lt;=1599,"Mala",IF(AC14&lt;=1999,"Malo",IF(AC14&lt;=2400,"Bueno","Excelente")))),
"Edad fuera de rango"))))</f>
        <v>Bueno</v>
      </c>
    </row>
    <row r="15" spans="1:30" x14ac:dyDescent="0.25">
      <c r="A15" s="10">
        <v>14</v>
      </c>
      <c r="B15" s="10" t="s">
        <v>20</v>
      </c>
      <c r="C15" s="19" t="s">
        <v>74</v>
      </c>
      <c r="D15" s="19" t="s">
        <v>41</v>
      </c>
      <c r="E15" s="19" t="s">
        <v>95</v>
      </c>
      <c r="F15" s="10">
        <v>16</v>
      </c>
      <c r="G15" s="10">
        <v>55.5</v>
      </c>
      <c r="H15" s="16">
        <v>163</v>
      </c>
      <c r="I15" s="8">
        <v>5</v>
      </c>
      <c r="J15" s="8">
        <v>8</v>
      </c>
      <c r="K15" s="8">
        <v>12</v>
      </c>
      <c r="L15" s="8">
        <v>8</v>
      </c>
      <c r="M15" s="8">
        <v>8</v>
      </c>
      <c r="N15" s="8">
        <v>6</v>
      </c>
      <c r="O15" s="8">
        <v>5</v>
      </c>
      <c r="P15" s="8">
        <v>26</v>
      </c>
      <c r="Q15" s="8">
        <v>29</v>
      </c>
      <c r="R15" s="8">
        <v>82</v>
      </c>
      <c r="S15" s="8">
        <v>69</v>
      </c>
      <c r="T15" s="8">
        <v>85</v>
      </c>
      <c r="U15" s="8">
        <v>53</v>
      </c>
      <c r="V15" s="8">
        <v>35</v>
      </c>
      <c r="W15" s="10">
        <v>36</v>
      </c>
      <c r="X15" s="10" t="str">
        <f>IF(W15&gt;30,"Excelente",IF(W15&gt;=26,"Bueno",IF(W15&gt;=20,"Bueno",IF(W15&gt;=17,"Malo","Pobre"))))</f>
        <v>Excelente</v>
      </c>
      <c r="Y15" s="10">
        <v>49</v>
      </c>
      <c r="Z15" s="10" t="str">
        <f>IF(AND(F15&gt;=15,F15&lt;=19),
IF(Y15&lt;18,"Muy bajo",IF(Y15&lt;=23,"Bajo",IF(Y15&lt;=29,"Bueno",IF(Y15&lt;=35,"Bueno","Excelente")))),
IF(AND(F15&gt;=20,F15&lt;=29),
IF(Y15&lt;16,"Muy bajo",IF(Y15&lt;=21,"Bajo",IF(Y15&lt;=27,"Bueno",IF(Y15&lt;=33,"Bueno","Excelente")))),
IF(AND(F15&gt;=30,F15&lt;=39),
IF(Y15&lt;11,"Muy bajo",IF(Y15&lt;=16,"Bajo",IF(Y15&lt;=21,"Bueno",IF(Y15&lt;=27,"Bueno","Excelente")))),
IF(AND(F15&gt;=40,F15&lt;=49),
IF(Y15&lt;8,"Muy bajo",IF(Y15&lt;=12,"Bajo",IF(Y15&lt;=15,"Bueno",IF(Y15&lt;=21,"Bueno","Excelente")))),
IF(AND(F15&gt;=50,F15&lt;=59),
IF(Y15&lt;5,"Muy bajo",IF(Y15&lt;=8,"Bajo",IF(Y15&lt;=12,"Bueno",IF(Y15&lt;=17,"Bueno","Excelente")))),
IF(AND(F15&gt;=60,F15&lt;=69),
IF(Y15&lt;4,"Muy bajo",IF(Y15&lt;=7,"Bajo",IF(Y15&lt;=11,"Bueno",IF(Y15&lt;=16,"Bueno","Excelente")))),
IF(F15&gt;=70,
IF(Y15&lt;3,"Muy bajo",IF(Y15&lt;=5,"Bajo",IF(Y15&lt;=9,"Bueno",IF(Y15&lt;=13,"Bueno","Excelente")))),
"Edad fuera de rango")))))))</f>
        <v>Excelente</v>
      </c>
      <c r="AA15" s="11">
        <v>2.2999999999999998</v>
      </c>
      <c r="AB15" s="9" t="str">
        <f t="shared" si="0"/>
        <v>Bueno</v>
      </c>
      <c r="AC15" s="10">
        <v>2925</v>
      </c>
      <c r="AD15" s="10" t="str">
        <f>IF(F15&lt;30,
IF(AC15&lt;1600,"Malo",IF(AC15&lt;=2199,"Mala",IF(AC15&lt;=2399,"Malo",IF(AC15&lt;=2800,"Bueno","Excelente")))),
IF(AND(F15&gt;=30,F15&lt;40),
IF(AC15&lt;=1500,"Malo",IF(AC15&lt;=1899,"Mala",IF(AC15&lt;=2299,"Malo",IF(AC15&lt;=2700,"Bueno","Excelente")))),
IF(AND(F15&gt;=40,F15&lt;50),
IF(AC15&lt;=1400,"Malo",IF(AC15&lt;=1699,"Mala",IF(AC15&lt;=2099,"Malo",IF(AC15&lt;=2500,"Bueno","Excelente")))),
IF(F15&gt;=50,
IF(AC15&lt;=1300,"Malo",IF(AC15&lt;=1599,"Mala",IF(AC15&lt;=1999,"Malo",IF(AC15&lt;=2400,"Bueno","Excelente")))),
"Edad fuera de rango"))))</f>
        <v>Excelente</v>
      </c>
    </row>
    <row r="16" spans="1:30" x14ac:dyDescent="0.25">
      <c r="A16" s="10">
        <v>15</v>
      </c>
      <c r="B16" s="10" t="s">
        <v>20</v>
      </c>
      <c r="C16" s="19" t="s">
        <v>75</v>
      </c>
      <c r="D16" s="19" t="s">
        <v>42</v>
      </c>
      <c r="E16" s="19" t="s">
        <v>95</v>
      </c>
      <c r="F16" s="10">
        <v>17</v>
      </c>
      <c r="G16" s="10">
        <v>70.7</v>
      </c>
      <c r="H16" s="15">
        <v>1.79</v>
      </c>
      <c r="I16" s="8">
        <v>9</v>
      </c>
      <c r="J16" s="8">
        <v>10</v>
      </c>
      <c r="K16" s="8">
        <v>13</v>
      </c>
      <c r="L16" s="8">
        <v>8</v>
      </c>
      <c r="M16" s="8">
        <v>9</v>
      </c>
      <c r="N16" s="8">
        <v>12</v>
      </c>
      <c r="O16" s="8">
        <v>11</v>
      </c>
      <c r="P16" s="8">
        <v>28.5</v>
      </c>
      <c r="Q16" s="8">
        <v>33</v>
      </c>
      <c r="R16" s="8">
        <v>87</v>
      </c>
      <c r="S16" s="8">
        <v>77.5</v>
      </c>
      <c r="T16" s="8">
        <v>92</v>
      </c>
      <c r="U16" s="8">
        <v>57</v>
      </c>
      <c r="V16" s="8">
        <v>35</v>
      </c>
      <c r="W16" s="10">
        <v>37</v>
      </c>
      <c r="X16" s="10" t="str">
        <f>IF(W16&gt;30,"Excelente",IF(W16&gt;=26,"Bueno",IF(W16&gt;=20,"Bueno",IF(W16&gt;=17,"Malo","Pobre"))))</f>
        <v>Excelente</v>
      </c>
      <c r="Y16" s="10">
        <v>51</v>
      </c>
      <c r="Z16" s="10" t="str">
        <f>IF(AND(F16&gt;=15,F16&lt;=19),
IF(Y16&lt;18,"Muy bajo",IF(Y16&lt;=23,"Bajo",IF(Y16&lt;=29,"Bueno",IF(Y16&lt;=35,"Bueno","Excelente")))),
IF(AND(F16&gt;=20,F16&lt;=29),
IF(Y16&lt;16,"Muy bajo",IF(Y16&lt;=21,"Bajo",IF(Y16&lt;=27,"Bueno",IF(Y16&lt;=33,"Bueno","Excelente")))),
IF(AND(F16&gt;=30,F16&lt;=39),
IF(Y16&lt;11,"Muy bajo",IF(Y16&lt;=16,"Bajo",IF(Y16&lt;=21,"Bueno",IF(Y16&lt;=27,"Bueno","Excelente")))),
IF(AND(F16&gt;=40,F16&lt;=49),
IF(Y16&lt;8,"Muy bajo",IF(Y16&lt;=12,"Bajo",IF(Y16&lt;=15,"Bueno",IF(Y16&lt;=21,"Bueno","Excelente")))),
IF(AND(F16&gt;=50,F16&lt;=59),
IF(Y16&lt;5,"Muy bajo",IF(Y16&lt;=8,"Bajo",IF(Y16&lt;=12,"Bueno",IF(Y16&lt;=17,"Bueno","Excelente")))),
IF(AND(F16&gt;=60,F16&lt;=69),
IF(Y16&lt;4,"Muy bajo",IF(Y16&lt;=7,"Bajo",IF(Y16&lt;=11,"Bueno",IF(Y16&lt;=16,"Bueno","Excelente")))),
IF(F16&gt;=70,
IF(Y16&lt;3,"Muy bajo",IF(Y16&lt;=5,"Bajo",IF(Y16&lt;=9,"Bueno",IF(Y16&lt;=13,"Bueno","Excelente")))),
"Edad fuera de rango")))))))</f>
        <v>Excelente</v>
      </c>
      <c r="AA16" s="10">
        <v>2.2799999999999998</v>
      </c>
      <c r="AB16" s="9" t="str">
        <f t="shared" si="0"/>
        <v>Bueno</v>
      </c>
      <c r="AC16" s="10">
        <v>2792</v>
      </c>
      <c r="AD16" s="10" t="str">
        <f>IF(F16&lt;30,
IF(AC16&lt;1600,"Malo",IF(AC16&lt;=2199,"Mala",IF(AC16&lt;=2399,"Malo",IF(AC16&lt;=2800,"Bueno","Excelente")))),
IF(AND(F16&gt;=30,F16&lt;40),
IF(AC16&lt;=1500,"Malo",IF(AC16&lt;=1899,"Mala",IF(AC16&lt;=2299,"Malo",IF(AC16&lt;=2700,"Bueno","Excelente")))),
IF(AND(F16&gt;=40,F16&lt;50),
IF(AC16&lt;=1400,"Malo",IF(AC16&lt;=1699,"Mala",IF(AC16&lt;=2099,"Malo",IF(AC16&lt;=2500,"Bueno","Excelente")))),
IF(F16&gt;=50,
IF(AC16&lt;=1300,"Malo",IF(AC16&lt;=1599,"Mala",IF(AC16&lt;=1999,"Malo",IF(AC16&lt;=2400,"Bueno","Excelente")))),
"Edad fuera de rango"))))</f>
        <v>Bueno</v>
      </c>
    </row>
    <row r="17" spans="1:30" x14ac:dyDescent="0.25">
      <c r="A17" s="10">
        <v>16</v>
      </c>
      <c r="B17" s="10" t="s">
        <v>20</v>
      </c>
      <c r="C17" s="19" t="s">
        <v>76</v>
      </c>
      <c r="D17" s="19" t="s">
        <v>43</v>
      </c>
      <c r="E17" s="19" t="s">
        <v>95</v>
      </c>
      <c r="F17" s="10">
        <v>16</v>
      </c>
      <c r="G17" s="10">
        <v>74.3</v>
      </c>
      <c r="H17" s="15">
        <v>1.83</v>
      </c>
      <c r="I17" s="8">
        <v>13</v>
      </c>
      <c r="J17" s="8">
        <v>14</v>
      </c>
      <c r="K17" s="8">
        <v>20</v>
      </c>
      <c r="L17" s="8">
        <v>11</v>
      </c>
      <c r="M17" s="8">
        <v>15</v>
      </c>
      <c r="N17" s="8">
        <v>12</v>
      </c>
      <c r="O17" s="8">
        <v>7</v>
      </c>
      <c r="P17" s="8">
        <v>29.5</v>
      </c>
      <c r="Q17" s="8">
        <v>33</v>
      </c>
      <c r="R17" s="8">
        <v>89</v>
      </c>
      <c r="S17" s="8">
        <v>75</v>
      </c>
      <c r="T17" s="8">
        <v>94</v>
      </c>
      <c r="U17" s="8">
        <v>57</v>
      </c>
      <c r="V17" s="8">
        <v>36</v>
      </c>
      <c r="W17" s="10">
        <v>26</v>
      </c>
      <c r="X17" s="10" t="str">
        <f>IF(W17&gt;30,"Excelente",IF(W17&gt;=26,"Bueno",IF(W17&gt;=20,"Bueno",IF(W17&gt;=17,"Malo","Pobre"))))</f>
        <v>Bueno</v>
      </c>
      <c r="Y17" s="10">
        <v>35</v>
      </c>
      <c r="Z17" s="10" t="str">
        <f>IF(AND(F17&gt;=15,F17&lt;=19),
IF(Y17&lt;18,"Muy bajo",IF(Y17&lt;=23,"Bajo",IF(Y17&lt;=29,"Bueno",IF(Y17&lt;=35,"Bueno","Excelente")))),
IF(AND(F17&gt;=20,F17&lt;=29),
IF(Y17&lt;16,"Muy bajo",IF(Y17&lt;=21,"Bajo",IF(Y17&lt;=27,"Bueno",IF(Y17&lt;=33,"Bueno","Excelente")))),
IF(AND(F17&gt;=30,F17&lt;=39),
IF(Y17&lt;11,"Muy bajo",IF(Y17&lt;=16,"Bajo",IF(Y17&lt;=21,"Bueno",IF(Y17&lt;=27,"Bueno","Excelente")))),
IF(AND(F17&gt;=40,F17&lt;=49),
IF(Y17&lt;8,"Muy bajo",IF(Y17&lt;=12,"Bajo",IF(Y17&lt;=15,"Bueno",IF(Y17&lt;=21,"Bueno","Excelente")))),
IF(AND(F17&gt;=50,F17&lt;=59),
IF(Y17&lt;5,"Muy bajo",IF(Y17&lt;=8,"Bajo",IF(Y17&lt;=12,"Bueno",IF(Y17&lt;=17,"Bueno","Excelente")))),
IF(AND(F17&gt;=60,F17&lt;=69),
IF(Y17&lt;4,"Muy bajo",IF(Y17&lt;=7,"Bajo",IF(Y17&lt;=11,"Bueno",IF(Y17&lt;=16,"Bueno","Excelente")))),
IF(F17&gt;=70,
IF(Y17&lt;3,"Muy bajo",IF(Y17&lt;=5,"Bajo",IF(Y17&lt;=9,"Bueno",IF(Y17&lt;=13,"Bueno","Excelente")))),
"Edad fuera de rango")))))))</f>
        <v>Bueno</v>
      </c>
      <c r="AA17" s="10">
        <v>2.44</v>
      </c>
      <c r="AB17" s="9" t="str">
        <f t="shared" si="0"/>
        <v>Bueno</v>
      </c>
      <c r="AC17" s="10">
        <v>2603</v>
      </c>
      <c r="AD17" s="10" t="str">
        <f>IF(F17&lt;30,
IF(AC17&lt;1600,"Malo",IF(AC17&lt;=2199,"Mala",IF(AC17&lt;=2399,"Malo",IF(AC17&lt;=2800,"Bueno","Excelente")))),
IF(AND(F17&gt;=30,F17&lt;40),
IF(AC17&lt;=1500,"Malo",IF(AC17&lt;=1899,"Mala",IF(AC17&lt;=2299,"Malo",IF(AC17&lt;=2700,"Bueno","Excelente")))),
IF(AND(F17&gt;=40,F17&lt;50),
IF(AC17&lt;=1400,"Malo",IF(AC17&lt;=1699,"Mala",IF(AC17&lt;=2099,"Malo",IF(AC17&lt;=2500,"Bueno","Excelente")))),
IF(F17&gt;=50,
IF(AC17&lt;=1300,"Malo",IF(AC17&lt;=1599,"Mala",IF(AC17&lt;=1999,"Malo",IF(AC17&lt;=2400,"Bueno","Excelente")))),
"Edad fuera de rango"))))</f>
        <v>Bueno</v>
      </c>
    </row>
    <row r="18" spans="1:30" x14ac:dyDescent="0.25">
      <c r="A18" s="10">
        <v>17</v>
      </c>
      <c r="B18" s="10" t="s">
        <v>20</v>
      </c>
      <c r="C18" s="19" t="s">
        <v>77</v>
      </c>
      <c r="D18" s="19" t="s">
        <v>44</v>
      </c>
      <c r="E18" s="19" t="s">
        <v>95</v>
      </c>
      <c r="F18" s="10">
        <v>16</v>
      </c>
      <c r="G18" s="10">
        <v>68.3</v>
      </c>
      <c r="H18" s="18">
        <v>179</v>
      </c>
      <c r="I18" s="8">
        <v>16</v>
      </c>
      <c r="J18" s="8">
        <v>14</v>
      </c>
      <c r="K18" s="8">
        <v>22</v>
      </c>
      <c r="L18" s="8">
        <v>20</v>
      </c>
      <c r="M18" s="8">
        <v>22</v>
      </c>
      <c r="N18" s="8">
        <v>15</v>
      </c>
      <c r="O18" s="8">
        <v>10</v>
      </c>
      <c r="P18" s="8">
        <v>26</v>
      </c>
      <c r="Q18" s="8">
        <v>30</v>
      </c>
      <c r="R18" s="8">
        <v>87</v>
      </c>
      <c r="S18" s="8">
        <v>77.5</v>
      </c>
      <c r="T18" s="8">
        <v>95</v>
      </c>
      <c r="U18" s="8">
        <v>54.5</v>
      </c>
      <c r="V18" s="8">
        <v>34</v>
      </c>
      <c r="W18" s="10">
        <v>28</v>
      </c>
      <c r="X18" s="10" t="str">
        <f>IF(W18&gt;30,"Excelente",IF(W18&gt;=26,"Bueno",IF(W18&gt;=20,"Bueno",IF(W18&gt;=17,"Malo","Pobre"))))</f>
        <v>Bueno</v>
      </c>
      <c r="Y18" s="10">
        <v>35</v>
      </c>
      <c r="Z18" s="10" t="str">
        <f>IF(AND(F18&gt;=15,F18&lt;=19),
IF(Y18&lt;18,"Muy bajo",IF(Y18&lt;=23,"Bajo",IF(Y18&lt;=29,"Bueno",IF(Y18&lt;=35,"Bueno","Excelente")))),
IF(AND(F18&gt;=20,F18&lt;=29),
IF(Y18&lt;16,"Muy bajo",IF(Y18&lt;=21,"Bajo",IF(Y18&lt;=27,"Bueno",IF(Y18&lt;=33,"Bueno","Excelente")))),
IF(AND(F18&gt;=30,F18&lt;=39),
IF(Y18&lt;11,"Muy bajo",IF(Y18&lt;=16,"Bajo",IF(Y18&lt;=21,"Bueno",IF(Y18&lt;=27,"Bueno","Excelente")))),
IF(AND(F18&gt;=40,F18&lt;=49),
IF(Y18&lt;8,"Muy bajo",IF(Y18&lt;=12,"Bajo",IF(Y18&lt;=15,"Bueno",IF(Y18&lt;=21,"Bueno","Excelente")))),
IF(AND(F18&gt;=50,F18&lt;=59),
IF(Y18&lt;5,"Muy bajo",IF(Y18&lt;=8,"Bajo",IF(Y18&lt;=12,"Bueno",IF(Y18&lt;=17,"Bueno","Excelente")))),
IF(AND(F18&gt;=60,F18&lt;=69),
IF(Y18&lt;4,"Muy bajo",IF(Y18&lt;=7,"Bajo",IF(Y18&lt;=11,"Bueno",IF(Y18&lt;=16,"Bueno","Excelente")))),
IF(F18&gt;=70,
IF(Y18&lt;3,"Muy bajo",IF(Y18&lt;=5,"Bajo",IF(Y18&lt;=9,"Bueno",IF(Y18&lt;=13,"Bueno","Excelente")))),
"Edad fuera de rango")))))))</f>
        <v>Bueno</v>
      </c>
      <c r="AA18" s="10">
        <v>2.08</v>
      </c>
      <c r="AB18" s="9" t="str">
        <f t="shared" si="0"/>
        <v>Bueno</v>
      </c>
      <c r="AC18" s="10">
        <v>2885</v>
      </c>
      <c r="AD18" s="10" t="str">
        <f>IF(F18&lt;30,
IF(AC18&lt;1600,"Malo",IF(AC18&lt;=2199,"Mala",IF(AC18&lt;=2399,"Malo",IF(AC18&lt;=2800,"Bueno","Excelente")))),
IF(AND(F18&gt;=30,F18&lt;40),
IF(AC18&lt;=1500,"Malo",IF(AC18&lt;=1899,"Mala",IF(AC18&lt;=2299,"Malo",IF(AC18&lt;=2700,"Bueno","Excelente")))),
IF(AND(F18&gt;=40,F18&lt;50),
IF(AC18&lt;=1400,"Malo",IF(AC18&lt;=1699,"Mala",IF(AC18&lt;=2099,"Malo",IF(AC18&lt;=2500,"Bueno","Excelente")))),
IF(F18&gt;=50,
IF(AC18&lt;=1300,"Malo",IF(AC18&lt;=1599,"Mala",IF(AC18&lt;=1999,"Malo",IF(AC18&lt;=2400,"Bueno","Excelente")))),
"Edad fuera de rango"))))</f>
        <v>Excelente</v>
      </c>
    </row>
    <row r="19" spans="1:30" x14ac:dyDescent="0.25">
      <c r="A19" s="10">
        <v>18</v>
      </c>
      <c r="B19" s="10" t="s">
        <v>20</v>
      </c>
      <c r="C19" s="19" t="s">
        <v>78</v>
      </c>
      <c r="D19" s="19" t="s">
        <v>45</v>
      </c>
      <c r="E19" s="19" t="s">
        <v>95</v>
      </c>
      <c r="F19" s="10">
        <v>16</v>
      </c>
      <c r="G19" s="10">
        <v>65.2</v>
      </c>
      <c r="H19" s="15">
        <v>1.85</v>
      </c>
      <c r="I19" s="8">
        <v>7</v>
      </c>
      <c r="J19" s="8">
        <v>10</v>
      </c>
      <c r="K19" s="8">
        <v>14</v>
      </c>
      <c r="L19" s="8">
        <v>5</v>
      </c>
      <c r="M19" s="8">
        <v>8</v>
      </c>
      <c r="N19" s="8">
        <v>7</v>
      </c>
      <c r="O19" s="8">
        <v>7</v>
      </c>
      <c r="P19" s="8">
        <v>27</v>
      </c>
      <c r="Q19" s="8">
        <v>29</v>
      </c>
      <c r="R19" s="8">
        <v>80</v>
      </c>
      <c r="S19" s="8">
        <v>70</v>
      </c>
      <c r="T19" s="8">
        <v>90</v>
      </c>
      <c r="U19" s="8">
        <v>53</v>
      </c>
      <c r="V19" s="8">
        <v>33</v>
      </c>
      <c r="W19" s="10">
        <v>32</v>
      </c>
      <c r="X19" s="10" t="str">
        <f>IF(W19&gt;30,"Excelente",IF(W19&gt;=26,"Bueno",IF(W19&gt;=20,"Bueno",IF(W19&gt;=17,"Malo","Pobre"))))</f>
        <v>Excelente</v>
      </c>
      <c r="Y19" s="10">
        <v>42</v>
      </c>
      <c r="Z19" s="10" t="str">
        <f>IF(AND(F19&gt;=15,F19&lt;=19),
IF(Y19&lt;18,"Muy bajo",IF(Y19&lt;=23,"Bajo",IF(Y19&lt;=29,"Bueno",IF(Y19&lt;=35,"Bueno","Excelente")))),
IF(AND(F19&gt;=20,F19&lt;=29),
IF(Y19&lt;16,"Muy bajo",IF(Y19&lt;=21,"Bajo",IF(Y19&lt;=27,"Bueno",IF(Y19&lt;=33,"Bueno","Excelente")))),
IF(AND(F19&gt;=30,F19&lt;=39),
IF(Y19&lt;11,"Muy bajo",IF(Y19&lt;=16,"Bajo",IF(Y19&lt;=21,"Bueno",IF(Y19&lt;=27,"Bueno","Excelente")))),
IF(AND(F19&gt;=40,F19&lt;=49),
IF(Y19&lt;8,"Muy bajo",IF(Y19&lt;=12,"Bajo",IF(Y19&lt;=15,"Bueno",IF(Y19&lt;=21,"Bueno","Excelente")))),
IF(AND(F19&gt;=50,F19&lt;=59),
IF(Y19&lt;5,"Muy bajo",IF(Y19&lt;=8,"Bajo",IF(Y19&lt;=12,"Bueno",IF(Y19&lt;=17,"Bueno","Excelente")))),
IF(AND(F19&gt;=60,F19&lt;=69),
IF(Y19&lt;4,"Muy bajo",IF(Y19&lt;=7,"Bajo",IF(Y19&lt;=11,"Bueno",IF(Y19&lt;=16,"Bueno","Excelente")))),
IF(F19&gt;=70,
IF(Y19&lt;3,"Muy bajo",IF(Y19&lt;=5,"Bajo",IF(Y19&lt;=9,"Bueno",IF(Y19&lt;=13,"Bueno","Excelente")))),
"Edad fuera de rango")))))))</f>
        <v>Excelente</v>
      </c>
      <c r="AA19" s="10">
        <v>2.25</v>
      </c>
      <c r="AB19" s="9" t="str">
        <f t="shared" si="0"/>
        <v>Bueno</v>
      </c>
      <c r="AC19" s="10">
        <v>3051</v>
      </c>
      <c r="AD19" s="10" t="str">
        <f>IF(F19&lt;30,
IF(AC19&lt;1600,"Malo",IF(AC19&lt;=2199,"Mala",IF(AC19&lt;=2399,"Malo",IF(AC19&lt;=2800,"Bueno","Excelente")))),
IF(AND(F19&gt;=30,F19&lt;40),
IF(AC19&lt;=1500,"Malo",IF(AC19&lt;=1899,"Mala",IF(AC19&lt;=2299,"Malo",IF(AC19&lt;=2700,"Bueno","Excelente")))),
IF(AND(F19&gt;=40,F19&lt;50),
IF(AC19&lt;=1400,"Malo",IF(AC19&lt;=1699,"Mala",IF(AC19&lt;=2099,"Malo",IF(AC19&lt;=2500,"Bueno","Excelente")))),
IF(F19&gt;=50,
IF(AC19&lt;=1300,"Malo",IF(AC19&lt;=1599,"Mala",IF(AC19&lt;=1999,"Malo",IF(AC19&lt;=2400,"Bueno","Excelente")))),
"Edad fuera de rango"))))</f>
        <v>Excelente</v>
      </c>
    </row>
    <row r="20" spans="1:30" x14ac:dyDescent="0.25">
      <c r="A20" s="10">
        <v>19</v>
      </c>
      <c r="B20" s="10" t="s">
        <v>20</v>
      </c>
      <c r="C20" s="19" t="s">
        <v>79</v>
      </c>
      <c r="D20" s="19" t="s">
        <v>46</v>
      </c>
      <c r="E20" s="19" t="s">
        <v>95</v>
      </c>
      <c r="F20" s="10">
        <v>16</v>
      </c>
      <c r="G20" s="10">
        <v>66.400000000000006</v>
      </c>
      <c r="H20" s="15">
        <v>1.85</v>
      </c>
      <c r="I20" s="8">
        <v>13</v>
      </c>
      <c r="J20" s="8">
        <v>10</v>
      </c>
      <c r="K20" s="8">
        <v>11</v>
      </c>
      <c r="L20" s="8">
        <v>8</v>
      </c>
      <c r="M20" s="8">
        <v>10</v>
      </c>
      <c r="N20" s="8">
        <v>8</v>
      </c>
      <c r="O20" s="8">
        <v>10</v>
      </c>
      <c r="P20" s="8">
        <v>25.5</v>
      </c>
      <c r="Q20" s="8">
        <v>29</v>
      </c>
      <c r="R20" s="8">
        <v>86</v>
      </c>
      <c r="S20" s="8">
        <v>68</v>
      </c>
      <c r="T20" s="8">
        <v>89</v>
      </c>
      <c r="U20" s="8">
        <v>53</v>
      </c>
      <c r="V20" s="8">
        <v>36</v>
      </c>
      <c r="W20" s="10">
        <v>28</v>
      </c>
      <c r="X20" s="10" t="str">
        <f>IF(W20&gt;30,"Excelente",IF(W20&gt;=26,"Bueno",IF(W20&gt;=20,"Bueno",IF(W20&gt;=17,"Malo","Pobre"))))</f>
        <v>Bueno</v>
      </c>
      <c r="Y20" s="10">
        <v>15</v>
      </c>
      <c r="Z20" s="10" t="str">
        <f>IF(AND(F20&gt;=15,F20&lt;=19),
IF(Y20&lt;18,"Muy bajo",IF(Y20&lt;=23,"Bajo",IF(Y20&lt;=29,"Bueno",IF(Y20&lt;=35,"Bueno","Excelente")))),
IF(AND(F20&gt;=20,F20&lt;=29),
IF(Y20&lt;16,"Muy bajo",IF(Y20&lt;=21,"Bajo",IF(Y20&lt;=27,"Bueno",IF(Y20&lt;=33,"Bueno","Excelente")))),
IF(AND(F20&gt;=30,F20&lt;=39),
IF(Y20&lt;11,"Muy bajo",IF(Y20&lt;=16,"Bajo",IF(Y20&lt;=21,"Bueno",IF(Y20&lt;=27,"Bueno","Excelente")))),
IF(AND(F20&gt;=40,F20&lt;=49),
IF(Y20&lt;8,"Muy bajo",IF(Y20&lt;=12,"Bajo",IF(Y20&lt;=15,"Bueno",IF(Y20&lt;=21,"Bueno","Excelente")))),
IF(AND(F20&gt;=50,F20&lt;=59),
IF(Y20&lt;5,"Muy bajo",IF(Y20&lt;=8,"Bajo",IF(Y20&lt;=12,"Bueno",IF(Y20&lt;=17,"Bueno","Excelente")))),
IF(AND(F20&gt;=60,F20&lt;=69),
IF(Y20&lt;4,"Muy bajo",IF(Y20&lt;=7,"Bajo",IF(Y20&lt;=11,"Bueno",IF(Y20&lt;=16,"Bueno","Excelente")))),
IF(F20&gt;=70,
IF(Y20&lt;3,"Muy bajo",IF(Y20&lt;=5,"Bajo",IF(Y20&lt;=9,"Bueno",IF(Y20&lt;=13,"Bueno","Excelente")))),
"Edad fuera de rango")))))))</f>
        <v>Muy bajo</v>
      </c>
      <c r="AA20" s="11">
        <v>2.2999999999999998</v>
      </c>
      <c r="AB20" s="9" t="str">
        <f t="shared" si="0"/>
        <v>Bueno</v>
      </c>
      <c r="AC20" s="10">
        <v>2679</v>
      </c>
      <c r="AD20" s="10" t="str">
        <f>IF(F20&lt;30,
IF(AC20&lt;1600,"Malo",IF(AC20&lt;=2199,"Mala",IF(AC20&lt;=2399,"Malo",IF(AC20&lt;=2800,"Bueno","Excelente")))),
IF(AND(F20&gt;=30,F20&lt;40),
IF(AC20&lt;=1500,"Malo",IF(AC20&lt;=1899,"Mala",IF(AC20&lt;=2299,"Malo",IF(AC20&lt;=2700,"Bueno","Excelente")))),
IF(AND(F20&gt;=40,F20&lt;50),
IF(AC20&lt;=1400,"Malo",IF(AC20&lt;=1699,"Mala",IF(AC20&lt;=2099,"Malo",IF(AC20&lt;=2500,"Bueno","Excelente")))),
IF(F20&gt;=50,
IF(AC20&lt;=1300,"Malo",IF(AC20&lt;=1599,"Mala",IF(AC20&lt;=1999,"Malo",IF(AC20&lt;=2400,"Bueno","Excelente")))),
"Edad fuera de rango"))))</f>
        <v>Bueno</v>
      </c>
    </row>
    <row r="21" spans="1:30" x14ac:dyDescent="0.25">
      <c r="A21" s="2">
        <v>20</v>
      </c>
      <c r="B21" s="10" t="s">
        <v>20</v>
      </c>
      <c r="C21" s="19" t="s">
        <v>80</v>
      </c>
      <c r="D21" s="19" t="s">
        <v>33</v>
      </c>
      <c r="E21" s="19" t="s">
        <v>95</v>
      </c>
      <c r="F21" s="2">
        <v>15</v>
      </c>
      <c r="G21" s="2">
        <v>69.2</v>
      </c>
      <c r="H21" s="4">
        <v>1.83</v>
      </c>
      <c r="I21" s="12">
        <v>14</v>
      </c>
      <c r="J21" s="12">
        <v>9</v>
      </c>
      <c r="K21" s="12">
        <v>10</v>
      </c>
      <c r="L21" s="12">
        <v>6</v>
      </c>
      <c r="M21" s="12">
        <v>9</v>
      </c>
      <c r="N21" s="12">
        <v>13</v>
      </c>
      <c r="O21" s="12">
        <v>14</v>
      </c>
      <c r="P21" s="12">
        <v>27</v>
      </c>
      <c r="Q21" s="12">
        <v>30</v>
      </c>
      <c r="R21" s="12">
        <v>34</v>
      </c>
      <c r="S21" s="12">
        <v>28.5</v>
      </c>
      <c r="T21" s="12">
        <v>92.5</v>
      </c>
      <c r="U21" s="12">
        <v>51</v>
      </c>
      <c r="V21" s="12">
        <v>35</v>
      </c>
      <c r="W21" s="2">
        <v>19</v>
      </c>
      <c r="X21" s="2" t="str">
        <f>IF(W21&gt;30,"Excelente",IF(W21&gt;=26,"Bueno",IF(W21&gt;=20,"Bueno",IF(W21&gt;=17,"Malo","Pobre"))))</f>
        <v>Malo</v>
      </c>
      <c r="Y21" s="2">
        <v>29</v>
      </c>
      <c r="Z21" s="2" t="str">
        <f>IF(AND(F21&gt;=15,F21&lt;=19),
IF(Y21&lt;18,"Muy bajo",IF(Y21&lt;=23,"Bajo",IF(Y21&lt;=29,"Bueno",IF(Y21&lt;=35,"Bueno","Excelente")))),
IF(AND(F21&gt;=20,F21&lt;=29),
IF(Y21&lt;16,"Muy bajo",IF(Y21&lt;=21,"Bajo",IF(Y21&lt;=27,"Bueno",IF(Y21&lt;=33,"Bueno","Excelente")))),
IF(AND(F21&gt;=30,F21&lt;=39),
IF(Y21&lt;11,"Muy bajo",IF(Y21&lt;=16,"Bajo",IF(Y21&lt;=21,"Bueno",IF(Y21&lt;=27,"Bueno","Excelente")))),
IF(AND(F21&gt;=40,F21&lt;=49),
IF(Y21&lt;8,"Muy bajo",IF(Y21&lt;=12,"Bajo",IF(Y21&lt;=15,"Bueno",IF(Y21&lt;=21,"Bueno","Excelente")))),
IF(AND(F21&gt;=50,F21&lt;=59),
IF(Y21&lt;5,"Muy bajo",IF(Y21&lt;=8,"Bajo",IF(Y21&lt;=12,"Bueno",IF(Y21&lt;=17,"Bueno","Excelente")))),
IF(AND(F21&gt;=60,F21&lt;=69),
IF(Y21&lt;4,"Muy bajo",IF(Y21&lt;=7,"Bajo",IF(Y21&lt;=11,"Bueno",IF(Y21&lt;=16,"Bueno","Excelente")))),
IF(F21&gt;=70,
IF(Y21&lt;3,"Muy bajo",IF(Y21&lt;=5,"Bajo",IF(Y21&lt;=9,"Bueno",IF(Y21&lt;=13,"Bueno","Excelente")))),
"Edad fuera de rango")))))))</f>
        <v>Bueno</v>
      </c>
      <c r="AA21" s="2">
        <v>1.83</v>
      </c>
      <c r="AB21" s="3" t="str">
        <f>IF(AA21&gt;=1.7,"Bueno","Malo")</f>
        <v>Bueno</v>
      </c>
      <c r="AC21" s="2">
        <v>2488</v>
      </c>
      <c r="AD21" s="2" t="str">
        <f>IF(F21&lt;30,
IF(AC21&lt;1600,"Malo",IF(AC21&lt;=2199,"Mala",IF(AC21&lt;=2399,"Malo",IF(AC21&lt;=2800,"Bueno","Excelente")))),
IF(AND(F21&gt;=30,F21&lt;40),
IF(AC21&lt;=1500,"Malo",IF(AC21&lt;=1899,"Mala",IF(AC21&lt;=2299,"Malo",IF(AC21&lt;=2700,"Bueno","Excelente")))),
IF(AND(F21&gt;=40,F21&lt;50),
IF(AC21&lt;=1400,"Malo",IF(AC21&lt;=1699,"Mala",IF(AC21&lt;=2099,"Malo",IF(AC21&lt;=2500,"Bueno","Excelente")))),
IF(F21&gt;=50,
IF(AC21&lt;=1300,"Malo",IF(AC21&lt;=1599,"Mala",IF(AC21&lt;=1999,"Malo",IF(AC21&lt;=2400,"Bueno","Excelente")))),
"Edad fuera de rango"))))</f>
        <v>Bueno</v>
      </c>
    </row>
    <row r="22" spans="1:30" x14ac:dyDescent="0.25">
      <c r="A22" s="2">
        <v>21</v>
      </c>
      <c r="B22" s="10" t="s">
        <v>20</v>
      </c>
      <c r="C22" s="19" t="s">
        <v>81</v>
      </c>
      <c r="D22" s="19" t="s">
        <v>47</v>
      </c>
      <c r="E22" s="19" t="s">
        <v>95</v>
      </c>
      <c r="F22" s="2">
        <v>15</v>
      </c>
      <c r="G22" s="2">
        <v>68.5</v>
      </c>
      <c r="H22" s="4">
        <v>1.75</v>
      </c>
      <c r="I22" s="12">
        <v>9</v>
      </c>
      <c r="J22" s="12">
        <v>9</v>
      </c>
      <c r="K22" s="12">
        <v>16</v>
      </c>
      <c r="L22" s="12">
        <v>11</v>
      </c>
      <c r="M22" s="12">
        <v>11</v>
      </c>
      <c r="N22" s="12">
        <v>19</v>
      </c>
      <c r="O22" s="12">
        <v>10</v>
      </c>
      <c r="P22" s="12">
        <v>28.5</v>
      </c>
      <c r="Q22" s="12">
        <v>33</v>
      </c>
      <c r="R22" s="12">
        <v>91</v>
      </c>
      <c r="S22" s="12">
        <v>78</v>
      </c>
      <c r="T22" s="12">
        <v>93</v>
      </c>
      <c r="U22" s="12">
        <v>55</v>
      </c>
      <c r="V22" s="12">
        <v>37</v>
      </c>
      <c r="W22" s="2">
        <v>23</v>
      </c>
      <c r="X22" s="2" t="str">
        <f>IF(W22&gt;30,"Excelente",IF(W22&gt;=26,"Bueno",IF(W22&gt;=20,"Bueno",IF(W22&gt;=17,"Malo","Pobre"))))</f>
        <v>Bueno</v>
      </c>
      <c r="Y22" s="2">
        <v>28</v>
      </c>
      <c r="Z22" s="2" t="str">
        <f>IF(AND(F22&gt;=15,F22&lt;=19),
IF(Y22&lt;18,"Muy bajo",IF(Y22&lt;=23,"Bajo",IF(Y22&lt;=29,"Bueno",IF(Y22&lt;=35,"Bueno","Excelente")))),
IF(AND(F22&gt;=20,F22&lt;=29),
IF(Y22&lt;16,"Muy bajo",IF(Y22&lt;=21,"Bajo",IF(Y22&lt;=27,"Bueno",IF(Y22&lt;=33,"Bueno","Excelente")))),
IF(AND(F22&gt;=30,F22&lt;=39),
IF(Y22&lt;11,"Muy bajo",IF(Y22&lt;=16,"Bajo",IF(Y22&lt;=21,"Bueno",IF(Y22&lt;=27,"Bueno","Excelente")))),
IF(AND(F22&gt;=40,F22&lt;=49),
IF(Y22&lt;8,"Muy bajo",IF(Y22&lt;=12,"Bajo",IF(Y22&lt;=15,"Bueno",IF(Y22&lt;=21,"Bueno","Excelente")))),
IF(AND(F22&gt;=50,F22&lt;=59),
IF(Y22&lt;5,"Muy bajo",IF(Y22&lt;=8,"Bajo",IF(Y22&lt;=12,"Bueno",IF(Y22&lt;=17,"Bueno","Excelente")))),
IF(AND(F22&gt;=60,F22&lt;=69),
IF(Y22&lt;4,"Muy bajo",IF(Y22&lt;=7,"Bajo",IF(Y22&lt;=11,"Bueno",IF(Y22&lt;=16,"Bueno","Excelente")))),
IF(F22&gt;=70,
IF(Y22&lt;3,"Muy bajo",IF(Y22&lt;=5,"Bajo",IF(Y22&lt;=9,"Bueno",IF(Y22&lt;=13,"Bueno","Excelente")))),
"Edad fuera de rango")))))))</f>
        <v>Bueno</v>
      </c>
      <c r="AA22" s="4">
        <v>2.2000000000000002</v>
      </c>
      <c r="AB22" s="3" t="str">
        <f t="shared" ref="AB22:AB38" si="1">IF(AA22&gt;=1.7,"Bueno","Malo")</f>
        <v>Bueno</v>
      </c>
      <c r="AC22" s="2">
        <v>2728</v>
      </c>
      <c r="AD22" s="2" t="str">
        <f>IF(F22&lt;30,
IF(AC22&lt;1600,"Malo",IF(AC22&lt;=2199,"Mala",IF(AC22&lt;=2399,"Malo",IF(AC22&lt;=2800,"Bueno","Excelente")))),
IF(AND(F22&gt;=30,F22&lt;40),
IF(AC22&lt;=1500,"Malo",IF(AC22&lt;=1899,"Mala",IF(AC22&lt;=2299,"Malo",IF(AC22&lt;=2700,"Bueno","Excelente")))),
IF(AND(F22&gt;=40,F22&lt;50),
IF(AC22&lt;=1400,"Malo",IF(AC22&lt;=1699,"Mala",IF(AC22&lt;=2099,"Malo",IF(AC22&lt;=2500,"Bueno","Excelente")))),
IF(F22&gt;=50,
IF(AC22&lt;=1300,"Malo",IF(AC22&lt;=1599,"Mala",IF(AC22&lt;=1999,"Malo",IF(AC22&lt;=2400,"Bueno","Excelente")))),
"Edad fuera de rango"))))</f>
        <v>Bueno</v>
      </c>
    </row>
    <row r="23" spans="1:30" x14ac:dyDescent="0.25">
      <c r="A23" s="2">
        <v>22</v>
      </c>
      <c r="B23" s="10" t="s">
        <v>20</v>
      </c>
      <c r="C23" s="19" t="s">
        <v>82</v>
      </c>
      <c r="D23" s="19" t="s">
        <v>48</v>
      </c>
      <c r="E23" s="19" t="s">
        <v>95</v>
      </c>
      <c r="F23" s="2">
        <v>15</v>
      </c>
      <c r="G23" s="2">
        <v>55.7</v>
      </c>
      <c r="H23" s="4">
        <v>1.66</v>
      </c>
      <c r="I23" s="12">
        <v>13</v>
      </c>
      <c r="J23" s="12">
        <v>8</v>
      </c>
      <c r="K23" s="12">
        <v>13</v>
      </c>
      <c r="L23" s="12">
        <v>6</v>
      </c>
      <c r="M23" s="12">
        <v>9</v>
      </c>
      <c r="N23" s="12">
        <v>16</v>
      </c>
      <c r="O23" s="12">
        <v>16</v>
      </c>
      <c r="P23" s="12">
        <v>26</v>
      </c>
      <c r="Q23" s="12">
        <v>28</v>
      </c>
      <c r="R23" s="12">
        <v>84</v>
      </c>
      <c r="S23" s="12">
        <v>71</v>
      </c>
      <c r="T23" s="12">
        <v>84</v>
      </c>
      <c r="U23" s="12">
        <v>48</v>
      </c>
      <c r="V23" s="12">
        <v>35</v>
      </c>
      <c r="W23" s="2">
        <v>22</v>
      </c>
      <c r="X23" s="2" t="str">
        <f>IF(W23&gt;30,"Excelente",IF(W23&gt;=26,"Bueno",IF(W23&gt;=20,"Bueno",IF(W23&gt;=17,"Malo","Pobre"))))</f>
        <v>Bueno</v>
      </c>
      <c r="Y23" s="2">
        <v>43</v>
      </c>
      <c r="Z23" s="2" t="str">
        <f>IF(AND(F23&gt;=15,F23&lt;=19),
IF(Y23&lt;18,"Muy bajo",IF(Y23&lt;=23,"Bajo",IF(Y23&lt;=29,"Bueno",IF(Y23&lt;=35,"Bueno","Excelente")))),
IF(AND(F23&gt;=20,F23&lt;=29),
IF(Y23&lt;16,"Muy bajo",IF(Y23&lt;=21,"Bajo",IF(Y23&lt;=27,"Bueno",IF(Y23&lt;=33,"Bueno","Excelente")))),
IF(AND(F23&gt;=30,F23&lt;=39),
IF(Y23&lt;11,"Muy bajo",IF(Y23&lt;=16,"Bajo",IF(Y23&lt;=21,"Bueno",IF(Y23&lt;=27,"Bueno","Excelente")))),
IF(AND(F23&gt;=40,F23&lt;=49),
IF(Y23&lt;8,"Muy bajo",IF(Y23&lt;=12,"Bajo",IF(Y23&lt;=15,"Bueno",IF(Y23&lt;=21,"Bueno","Excelente")))),
IF(AND(F23&gt;=50,F23&lt;=59),
IF(Y23&lt;5,"Muy bajo",IF(Y23&lt;=8,"Bajo",IF(Y23&lt;=12,"Bueno",IF(Y23&lt;=17,"Bueno","Excelente")))),
IF(AND(F23&gt;=60,F23&lt;=69),
IF(Y23&lt;4,"Muy bajo",IF(Y23&lt;=7,"Bajo",IF(Y23&lt;=11,"Bueno",IF(Y23&lt;=16,"Bueno","Excelente")))),
IF(F23&gt;=70,
IF(Y23&lt;3,"Muy bajo",IF(Y23&lt;=5,"Bajo",IF(Y23&lt;=9,"Bueno",IF(Y23&lt;=13,"Bueno","Excelente")))),
"Edad fuera de rango")))))))</f>
        <v>Excelente</v>
      </c>
      <c r="AA23" s="2">
        <v>1.79</v>
      </c>
      <c r="AB23" s="3" t="str">
        <f t="shared" si="1"/>
        <v>Bueno</v>
      </c>
      <c r="AC23" s="2">
        <v>2696</v>
      </c>
      <c r="AD23" s="2" t="str">
        <f>IF(F23&lt;30,
IF(AC23&lt;1600,"Malo",IF(AC23&lt;=2199,"Mala",IF(AC23&lt;=2399,"Malo",IF(AC23&lt;=2800,"Bueno","Excelente")))),
IF(AND(F23&gt;=30,F23&lt;40),
IF(AC23&lt;=1500,"Malo",IF(AC23&lt;=1899,"Mala",IF(AC23&lt;=2299,"Malo",IF(AC23&lt;=2700,"Bueno","Excelente")))),
IF(AND(F23&gt;=40,F23&lt;50),
IF(AC23&lt;=1400,"Malo",IF(AC23&lt;=1699,"Mala",IF(AC23&lt;=2099,"Malo",IF(AC23&lt;=2500,"Bueno","Excelente")))),
IF(F23&gt;=50,
IF(AC23&lt;=1300,"Malo",IF(AC23&lt;=1599,"Mala",IF(AC23&lt;=1999,"Malo",IF(AC23&lt;=2400,"Bueno","Excelente")))),
"Edad fuera de rango"))))</f>
        <v>Bueno</v>
      </c>
    </row>
    <row r="24" spans="1:30" x14ac:dyDescent="0.25">
      <c r="A24" s="2">
        <v>23</v>
      </c>
      <c r="B24" s="10" t="s">
        <v>20</v>
      </c>
      <c r="C24" s="19" t="s">
        <v>83</v>
      </c>
      <c r="D24" s="19" t="s">
        <v>49</v>
      </c>
      <c r="E24" s="19" t="s">
        <v>95</v>
      </c>
      <c r="F24" s="2">
        <v>14</v>
      </c>
      <c r="G24" s="2">
        <v>62.2</v>
      </c>
      <c r="H24" s="17">
        <v>176</v>
      </c>
      <c r="I24" s="12">
        <v>8</v>
      </c>
      <c r="J24" s="12">
        <v>7</v>
      </c>
      <c r="K24" s="12">
        <v>13</v>
      </c>
      <c r="L24" s="12">
        <v>8</v>
      </c>
      <c r="M24" s="12">
        <v>8</v>
      </c>
      <c r="N24" s="12">
        <v>13</v>
      </c>
      <c r="O24" s="12">
        <v>17</v>
      </c>
      <c r="P24" s="12">
        <v>25</v>
      </c>
      <c r="Q24" s="12">
        <v>28</v>
      </c>
      <c r="R24" s="12">
        <v>82</v>
      </c>
      <c r="S24" s="12">
        <v>71</v>
      </c>
      <c r="T24" s="12">
        <v>87</v>
      </c>
      <c r="U24" s="12">
        <v>52.5</v>
      </c>
      <c r="V24" s="12">
        <v>35</v>
      </c>
      <c r="W24" s="2">
        <v>18</v>
      </c>
      <c r="X24" s="2" t="str">
        <f>IF(W24&gt;30,"Excelente",IF(W24&gt;=26,"Bueno",IF(W24&gt;=20,"Bueno",IF(W24&gt;=17,"Malo","Pobre"))))</f>
        <v>Malo</v>
      </c>
      <c r="Y24" s="2">
        <v>19</v>
      </c>
      <c r="Z24" s="2" t="str">
        <f>IF(AND(F24&gt;=15,F24&lt;=19),
IF(Y24&lt;18,"Muy bajo",IF(Y24&lt;=23,"Bajo",IF(Y24&lt;=29,"Bueno",IF(Y24&lt;=35,"Bueno","Excelente")))),
IF(AND(F24&gt;=20,F24&lt;=29),
IF(Y24&lt;16,"Muy bajo",IF(Y24&lt;=21,"Bajo",IF(Y24&lt;=27,"Bueno",IF(Y24&lt;=33,"Bueno","Excelente")))),
IF(AND(F24&gt;=30,F24&lt;=39),
IF(Y24&lt;11,"Muy bajo",IF(Y24&lt;=16,"Bajo",IF(Y24&lt;=21,"Bueno",IF(Y24&lt;=27,"Bueno","Excelente")))),
IF(AND(F24&gt;=40,F24&lt;=49),
IF(Y24&lt;8,"Muy bajo",IF(Y24&lt;=12,"Bajo",IF(Y24&lt;=15,"Bueno",IF(Y24&lt;=21,"Bueno","Excelente")))),
IF(AND(F24&gt;=50,F24&lt;=59),
IF(Y24&lt;5,"Muy bajo",IF(Y24&lt;=8,"Bajo",IF(Y24&lt;=12,"Bueno",IF(Y24&lt;=17,"Bueno","Excelente")))),
IF(AND(F24&gt;=60,F24&lt;=69),
IF(Y24&lt;4,"Muy bajo",IF(Y24&lt;=7,"Bajo",IF(Y24&lt;=11,"Bueno",IF(Y24&lt;=16,"Bueno","Excelente")))),
IF(F24&gt;=70,
IF(Y24&lt;3,"Muy bajo",IF(Y24&lt;=5,"Bajo",IF(Y24&lt;=9,"Bueno",IF(Y24&lt;=13,"Bueno","Excelente")))),
"Bajo")))))))</f>
        <v>Bajo</v>
      </c>
      <c r="AA24" s="4">
        <v>1.6</v>
      </c>
      <c r="AB24" s="3" t="str">
        <f t="shared" si="1"/>
        <v>Malo</v>
      </c>
      <c r="AC24" s="2">
        <v>2696</v>
      </c>
      <c r="AD24" s="2" t="str">
        <f>IF(F24&lt;30,
IF(AC24&lt;1600,"Malo",IF(AC24&lt;=2199,"Mala",IF(AC24&lt;=2399,"Malo",IF(AC24&lt;=2800,"Bueno","Excelente")))),
IF(AND(F24&gt;=30,F24&lt;40),
IF(AC24&lt;=1500,"Malo",IF(AC24&lt;=1899,"Mala",IF(AC24&lt;=2299,"Malo",IF(AC24&lt;=2700,"Bueno","Excelente")))),
IF(AND(F24&gt;=40,F24&lt;50),
IF(AC24&lt;=1400,"Malo",IF(AC24&lt;=1699,"Mala",IF(AC24&lt;=2099,"Malo",IF(AC24&lt;=2500,"Bueno","Excelente")))),
IF(F24&gt;=50,
IF(AC24&lt;=1300,"Malo",IF(AC24&lt;=1599,"Mala",IF(AC24&lt;=1999,"Malo",IF(AC24&lt;=2400,"Bueno","Excelente")))),
"Edad fuera de rango"))))</f>
        <v>Bueno</v>
      </c>
    </row>
    <row r="25" spans="1:30" x14ac:dyDescent="0.25">
      <c r="A25" s="2">
        <v>24</v>
      </c>
      <c r="B25" s="10" t="s">
        <v>20</v>
      </c>
      <c r="C25" s="19" t="s">
        <v>79</v>
      </c>
      <c r="D25" s="19" t="s">
        <v>50</v>
      </c>
      <c r="E25" s="19" t="s">
        <v>95</v>
      </c>
      <c r="F25" s="2">
        <v>15</v>
      </c>
      <c r="G25" s="2">
        <v>55.6</v>
      </c>
      <c r="H25" s="17">
        <v>176</v>
      </c>
      <c r="I25" s="12">
        <v>13</v>
      </c>
      <c r="J25" s="12">
        <v>14</v>
      </c>
      <c r="K25" s="12">
        <v>14</v>
      </c>
      <c r="L25" s="12">
        <v>8</v>
      </c>
      <c r="M25" s="12">
        <v>7</v>
      </c>
      <c r="N25" s="12">
        <v>18</v>
      </c>
      <c r="O25" s="12">
        <v>13</v>
      </c>
      <c r="P25" s="12">
        <v>25</v>
      </c>
      <c r="Q25" s="12">
        <v>28</v>
      </c>
      <c r="R25" s="12">
        <v>76</v>
      </c>
      <c r="S25" s="12">
        <v>71</v>
      </c>
      <c r="T25" s="12">
        <v>83</v>
      </c>
      <c r="U25" s="12">
        <v>47</v>
      </c>
      <c r="V25" s="12">
        <v>33</v>
      </c>
      <c r="W25" s="2">
        <v>18</v>
      </c>
      <c r="X25" s="2" t="str">
        <f>IF(W25&gt;30,"Excelente",IF(W25&gt;=26,"Bueno",IF(W25&gt;=20,"Bueno",IF(W25&gt;=17,"Malo","Pobre"))))</f>
        <v>Malo</v>
      </c>
      <c r="Y25" s="2">
        <v>27</v>
      </c>
      <c r="Z25" s="2" t="str">
        <f>IF(AND(F25&gt;=15,F25&lt;=19),
IF(Y25&lt;18,"Muy bajo",IF(Y25&lt;=23,"Bajo",IF(Y25&lt;=29,"Bueno",IF(Y25&lt;=35,"Bueno","Excelente")))),
IF(AND(F25&gt;=20,F25&lt;=29),
IF(Y25&lt;16,"Muy bajo",IF(Y25&lt;=21,"Bajo",IF(Y25&lt;=27,"Bueno",IF(Y25&lt;=33,"Bueno","Excelente")))),
IF(AND(F25&gt;=30,F25&lt;=39),
IF(Y25&lt;11,"Muy bajo",IF(Y25&lt;=16,"Bajo",IF(Y25&lt;=21,"Bueno",IF(Y25&lt;=27,"Bueno","Excelente")))),
IF(AND(F25&gt;=40,F25&lt;=49),
IF(Y25&lt;8,"Muy bajo",IF(Y25&lt;=12,"Bajo",IF(Y25&lt;=15,"Bueno",IF(Y25&lt;=21,"Bueno","Excelente")))),
IF(AND(F25&gt;=50,F25&lt;=59),
IF(Y25&lt;5,"Muy bajo",IF(Y25&lt;=8,"Bajo",IF(Y25&lt;=12,"Bueno",IF(Y25&lt;=17,"Bueno","Excelente")))),
IF(AND(F25&gt;=60,F25&lt;=69),
IF(Y25&lt;4,"Muy bajo",IF(Y25&lt;=7,"Bajo",IF(Y25&lt;=11,"Bueno",IF(Y25&lt;=16,"Bueno","Excelente")))),
IF(F25&gt;=70,
IF(Y25&lt;3,"Muy bajo",IF(Y25&lt;=5,"Bajo",IF(Y25&lt;=9,"Bueno",IF(Y25&lt;=13,"Bueno","Excelente")))),
"Edad fuera de rango")))))))</f>
        <v>Bueno</v>
      </c>
      <c r="AA25" s="2">
        <v>1.59</v>
      </c>
      <c r="AB25" s="3" t="str">
        <f t="shared" si="1"/>
        <v>Malo</v>
      </c>
      <c r="AC25" s="2">
        <v>2173</v>
      </c>
      <c r="AD25" s="2" t="str">
        <f>IF(F25&lt;30,
IF(AC25&lt;1600,"Malo",IF(AC25&lt;=2199,"Mala",IF(AC25&lt;=2399,"Malo",IF(AC25&lt;=2800,"Bueno","Excelente")))),
IF(AND(F25&gt;=30,F25&lt;40),
IF(AC25&lt;=1500,"Malo",IF(AC25&lt;=1899,"Mala",IF(AC25&lt;=2299,"Malo",IF(AC25&lt;=2700,"Bueno","Excelente")))),
IF(AND(F25&gt;=40,F25&lt;50),
IF(AC25&lt;=1400,"Malo",IF(AC25&lt;=1699,"Mala",IF(AC25&lt;=2099,"Malo",IF(AC25&lt;=2500,"Bueno","Excelente")))),
IF(F25&gt;=50,
IF(AC25&lt;=1300,"Malo",IF(AC25&lt;=1599,"Mala",IF(AC25&lt;=1999,"Malo",IF(AC25&lt;=2400,"Bueno","Excelente")))),
"Edad fuera de rango"))))</f>
        <v>Mala</v>
      </c>
    </row>
    <row r="26" spans="1:30" x14ac:dyDescent="0.25">
      <c r="A26" s="2">
        <v>25</v>
      </c>
      <c r="B26" s="10" t="s">
        <v>20</v>
      </c>
      <c r="C26" s="19" t="s">
        <v>84</v>
      </c>
      <c r="D26" s="19" t="s">
        <v>51</v>
      </c>
      <c r="E26" s="19" t="s">
        <v>95</v>
      </c>
      <c r="F26" s="2">
        <v>15</v>
      </c>
      <c r="G26" s="2">
        <v>59.8</v>
      </c>
      <c r="H26" s="4">
        <v>1.72</v>
      </c>
      <c r="I26" s="12">
        <v>11</v>
      </c>
      <c r="J26" s="12">
        <v>9</v>
      </c>
      <c r="K26" s="12">
        <v>14</v>
      </c>
      <c r="L26" s="12">
        <v>10</v>
      </c>
      <c r="M26" s="12">
        <v>13</v>
      </c>
      <c r="N26" s="12">
        <v>15</v>
      </c>
      <c r="O26" s="12">
        <v>14</v>
      </c>
      <c r="P26" s="12">
        <v>25.5</v>
      </c>
      <c r="Q26" s="12">
        <v>28</v>
      </c>
      <c r="R26" s="12">
        <v>81</v>
      </c>
      <c r="S26" s="12">
        <v>72</v>
      </c>
      <c r="T26" s="12">
        <v>86.5</v>
      </c>
      <c r="U26" s="12">
        <v>49.5</v>
      </c>
      <c r="V26" s="12">
        <v>35</v>
      </c>
      <c r="W26" s="2">
        <v>21</v>
      </c>
      <c r="X26" s="2" t="str">
        <f>IF(W26&gt;30,"Excelente",IF(W26&gt;=26,"Bueno",IF(W26&gt;=20,"Bueno",IF(W26&gt;=17,"Malo","Pobre"))))</f>
        <v>Bueno</v>
      </c>
      <c r="Y26" s="2">
        <v>27</v>
      </c>
      <c r="Z26" s="2" t="str">
        <f>IF(AND(F26&gt;=15,F26&lt;=19),
IF(Y26&lt;18,"Muy bajo",IF(Y26&lt;=23,"Bajo",IF(Y26&lt;=29,"Bueno",IF(Y26&lt;=35,"Bueno","Excelente")))),
IF(AND(F26&gt;=20,F26&lt;=29),
IF(Y26&lt;16,"Muy bajo",IF(Y26&lt;=21,"Bajo",IF(Y26&lt;=27,"Bueno",IF(Y26&lt;=33,"Bueno","Excelente")))),
IF(AND(F26&gt;=30,F26&lt;=39),
IF(Y26&lt;11,"Muy bajo",IF(Y26&lt;=16,"Bajo",IF(Y26&lt;=21,"Bueno",IF(Y26&lt;=27,"Bueno","Excelente")))),
IF(AND(F26&gt;=40,F26&lt;=49),
IF(Y26&lt;8,"Muy bajo",IF(Y26&lt;=12,"Bajo",IF(Y26&lt;=15,"Bueno",IF(Y26&lt;=21,"Bueno","Excelente")))),
IF(AND(F26&gt;=50,F26&lt;=59),
IF(Y26&lt;5,"Muy bajo",IF(Y26&lt;=8,"Bajo",IF(Y26&lt;=12,"Bueno",IF(Y26&lt;=17,"Bueno","Excelente")))),
IF(AND(F26&gt;=60,F26&lt;=69),
IF(Y26&lt;4,"Muy bajo",IF(Y26&lt;=7,"Bajo",IF(Y26&lt;=11,"Bueno",IF(Y26&lt;=16,"Bueno","Excelente")))),
IF(F26&gt;=70,
IF(Y26&lt;3,"Muy bajo",IF(Y26&lt;=5,"Bajo",IF(Y26&lt;=9,"Bueno",IF(Y26&lt;=13,"Bueno","Excelente")))),
"Edad fuera de rango")))))))</f>
        <v>Bueno</v>
      </c>
      <c r="AA26" s="2">
        <v>2.04</v>
      </c>
      <c r="AB26" s="3" t="str">
        <f t="shared" si="1"/>
        <v>Bueno</v>
      </c>
      <c r="AC26" s="2">
        <v>2724</v>
      </c>
      <c r="AD26" s="2" t="str">
        <f>IF(F26&lt;30,
IF(AC26&lt;1600,"Malo",IF(AC26&lt;=2199,"Mala",IF(AC26&lt;=2399,"Malo",IF(AC26&lt;=2800,"Bueno","Excelente")))),
IF(AND(F26&gt;=30,F26&lt;40),
IF(AC26&lt;=1500,"Malo",IF(AC26&lt;=1899,"Mala",IF(AC26&lt;=2299,"Malo",IF(AC26&lt;=2700,"Bueno","Excelente")))),
IF(AND(F26&gt;=40,F26&lt;50),
IF(AC26&lt;=1400,"Malo",IF(AC26&lt;=1699,"Mala",IF(AC26&lt;=2099,"Malo",IF(AC26&lt;=2500,"Bueno","Excelente")))),
IF(F26&gt;=50,
IF(AC26&lt;=1300,"Malo",IF(AC26&lt;=1599,"Mala",IF(AC26&lt;=1999,"Malo",IF(AC26&lt;=2400,"Bueno","Excelente")))),
"Edad fuera de rango"))))</f>
        <v>Bueno</v>
      </c>
    </row>
    <row r="27" spans="1:30" x14ac:dyDescent="0.25">
      <c r="A27" s="2">
        <v>26</v>
      </c>
      <c r="B27" s="10" t="s">
        <v>20</v>
      </c>
      <c r="C27" s="19" t="s">
        <v>85</v>
      </c>
      <c r="D27" s="19" t="s">
        <v>32</v>
      </c>
      <c r="E27" s="19" t="s">
        <v>95</v>
      </c>
      <c r="F27" s="2">
        <v>15</v>
      </c>
      <c r="G27" s="2">
        <v>55.7</v>
      </c>
      <c r="H27" s="4">
        <v>1.68</v>
      </c>
      <c r="I27" s="12">
        <v>9</v>
      </c>
      <c r="J27" s="12">
        <v>17</v>
      </c>
      <c r="K27" s="12">
        <v>11</v>
      </c>
      <c r="L27" s="12">
        <v>4</v>
      </c>
      <c r="M27" s="12">
        <v>6</v>
      </c>
      <c r="N27" s="12">
        <v>14</v>
      </c>
      <c r="O27" s="12">
        <v>1</v>
      </c>
      <c r="P27" s="12">
        <v>24</v>
      </c>
      <c r="Q27" s="12">
        <v>27</v>
      </c>
      <c r="R27" s="12">
        <v>79</v>
      </c>
      <c r="S27" s="12">
        <v>67.5</v>
      </c>
      <c r="T27" s="12">
        <v>86.5</v>
      </c>
      <c r="U27" s="12">
        <v>50.5</v>
      </c>
      <c r="V27" s="12">
        <v>35</v>
      </c>
      <c r="W27" s="2">
        <v>22</v>
      </c>
      <c r="X27" s="2" t="str">
        <f>IF(W27&gt;30,"Excelente",IF(W27&gt;=26,"Bueno",IF(W27&gt;=20,"Bueno",IF(W27&gt;=17,"Malo","Pobre"))))</f>
        <v>Bueno</v>
      </c>
      <c r="Y27" s="2">
        <v>35</v>
      </c>
      <c r="Z27" s="2" t="str">
        <f>IF(AND(F27&gt;=15,F27&lt;=19),
IF(Y27&lt;18,"Muy bajo",IF(Y27&lt;=23,"Bajo",IF(Y27&lt;=29,"Bueno",IF(Y27&lt;=35,"Bueno","Excelente")))),
IF(AND(F27&gt;=20,F27&lt;=29),
IF(Y27&lt;16,"Muy bajo",IF(Y27&lt;=21,"Bajo",IF(Y27&lt;=27,"Bueno",IF(Y27&lt;=33,"Bueno","Excelente")))),
IF(AND(F27&gt;=30,F27&lt;=39),
IF(Y27&lt;11,"Muy bajo",IF(Y27&lt;=16,"Bajo",IF(Y27&lt;=21,"Bueno",IF(Y27&lt;=27,"Bueno","Excelente")))),
IF(AND(F27&gt;=40,F27&lt;=49),
IF(Y27&lt;8,"Muy bajo",IF(Y27&lt;=12,"Bajo",IF(Y27&lt;=15,"Bueno",IF(Y27&lt;=21,"Bueno","Excelente")))),
IF(AND(F27&gt;=50,F27&lt;=59),
IF(Y27&lt;5,"Muy bajo",IF(Y27&lt;=8,"Bajo",IF(Y27&lt;=12,"Bueno",IF(Y27&lt;=17,"Bueno","Excelente")))),
IF(AND(F27&gt;=60,F27&lt;=69),
IF(Y27&lt;4,"Muy bajo",IF(Y27&lt;=7,"Bajo",IF(Y27&lt;=11,"Bueno",IF(Y27&lt;=16,"Bueno","Excelente")))),
IF(F27&gt;=70,
IF(Y27&lt;3,"Muy bajo",IF(Y27&lt;=5,"Bajo",IF(Y27&lt;=9,"Bueno",IF(Y27&lt;=13,"Bueno","Excelente")))),
"Edad fuera de rango")))))))</f>
        <v>Bueno</v>
      </c>
      <c r="AA27" s="2">
        <v>1.88</v>
      </c>
      <c r="AB27" s="3" t="str">
        <f t="shared" si="1"/>
        <v>Bueno</v>
      </c>
      <c r="AC27" s="2">
        <v>2725</v>
      </c>
      <c r="AD27" s="2" t="str">
        <f>IF(F27&lt;30,
IF(AC27&lt;1600,"Malo",IF(AC27&lt;=2199,"Mala",IF(AC27&lt;=2399,"Malo",IF(AC27&lt;=2800,"Bueno","Excelente")))),
IF(AND(F27&gt;=30,F27&lt;40),
IF(AC27&lt;=1500,"Malo",IF(AC27&lt;=1899,"Mala",IF(AC27&lt;=2299,"Malo",IF(AC27&lt;=2700,"Bueno","Excelente")))),
IF(AND(F27&gt;=40,F27&lt;50),
IF(AC27&lt;=1400,"Malo",IF(AC27&lt;=1699,"Mala",IF(AC27&lt;=2099,"Malo",IF(AC27&lt;=2500,"Bueno","Excelente")))),
IF(F27&gt;=50,
IF(AC27&lt;=1300,"Malo",IF(AC27&lt;=1599,"Mala",IF(AC27&lt;=1999,"Malo",IF(AC27&lt;=2400,"Bueno","Excelente")))),
"Edad fuera de rango"))))</f>
        <v>Bueno</v>
      </c>
    </row>
    <row r="28" spans="1:30" x14ac:dyDescent="0.25">
      <c r="A28" s="2">
        <v>27</v>
      </c>
      <c r="B28" s="10" t="s">
        <v>20</v>
      </c>
      <c r="C28" s="19" t="s">
        <v>86</v>
      </c>
      <c r="D28" s="19" t="s">
        <v>52</v>
      </c>
      <c r="E28" s="19" t="s">
        <v>95</v>
      </c>
      <c r="F28" s="2">
        <v>15</v>
      </c>
      <c r="G28" s="2">
        <v>64.2</v>
      </c>
      <c r="H28" s="4">
        <v>1.67</v>
      </c>
      <c r="I28" s="12">
        <v>18</v>
      </c>
      <c r="J28" s="12">
        <v>14</v>
      </c>
      <c r="K28" s="12">
        <v>9</v>
      </c>
      <c r="L28" s="12">
        <v>7</v>
      </c>
      <c r="M28" s="12">
        <v>11</v>
      </c>
      <c r="N28" s="12">
        <v>16</v>
      </c>
      <c r="O28" s="12"/>
      <c r="P28" s="12">
        <v>29</v>
      </c>
      <c r="Q28" s="12">
        <v>33</v>
      </c>
      <c r="R28" s="12">
        <v>88</v>
      </c>
      <c r="S28" s="12">
        <v>76</v>
      </c>
      <c r="T28" s="12">
        <v>89.5</v>
      </c>
      <c r="U28" s="12">
        <v>53</v>
      </c>
      <c r="V28" s="12">
        <v>35</v>
      </c>
      <c r="W28" s="2">
        <v>23</v>
      </c>
      <c r="X28" s="2" t="str">
        <f>IF(W28&gt;30,"Excelente",IF(W28&gt;=26,"Bueno",IF(W28&gt;=20,"Bueno",IF(W28&gt;=17,"Malo","Pobre"))))</f>
        <v>Bueno</v>
      </c>
      <c r="Y28" s="2">
        <v>34</v>
      </c>
      <c r="Z28" s="2" t="str">
        <f>IF(AND(F28&gt;=15,F28&lt;=19),
IF(Y28&lt;18,"Muy bajo",IF(Y28&lt;=23,"Bajo",IF(Y28&lt;=29,"Bueno",IF(Y28&lt;=35,"Bueno","Excelente")))),
IF(AND(F28&gt;=20,F28&lt;=29),
IF(Y28&lt;16,"Muy bajo",IF(Y28&lt;=21,"Bajo",IF(Y28&lt;=27,"Bueno",IF(Y28&lt;=33,"Bueno","Excelente")))),
IF(AND(F28&gt;=30,F28&lt;=39),
IF(Y28&lt;11,"Muy bajo",IF(Y28&lt;=16,"Bajo",IF(Y28&lt;=21,"Bueno",IF(Y28&lt;=27,"Bueno","Excelente")))),
IF(AND(F28&gt;=40,F28&lt;=49),
IF(Y28&lt;8,"Muy bajo",IF(Y28&lt;=12,"Bajo",IF(Y28&lt;=15,"Bueno",IF(Y28&lt;=21,"Bueno","Excelente")))),
IF(AND(F28&gt;=50,F28&lt;=59),
IF(Y28&lt;5,"Muy bajo",IF(Y28&lt;=8,"Bajo",IF(Y28&lt;=12,"Bueno",IF(Y28&lt;=17,"Bueno","Excelente")))),
IF(AND(F28&gt;=60,F28&lt;=69),
IF(Y28&lt;4,"Muy bajo",IF(Y28&lt;=7,"Bajo",IF(Y28&lt;=11,"Bueno",IF(Y28&lt;=16,"Bueno","Excelente")))),
IF(F28&gt;=70,
IF(Y28&lt;3,"Muy bajo",IF(Y28&lt;=5,"Bajo",IF(Y28&lt;=9,"Bueno",IF(Y28&lt;=13,"Bueno","Excelente")))),
"Edad fuera de rango")))))))</f>
        <v>Bueno</v>
      </c>
      <c r="AA28" s="2">
        <v>1.89</v>
      </c>
      <c r="AB28" s="3" t="str">
        <f t="shared" si="1"/>
        <v>Bueno</v>
      </c>
      <c r="AC28" s="2">
        <v>2644</v>
      </c>
      <c r="AD28" s="2" t="str">
        <f>IF(F28&lt;30,
IF(AC28&lt;1600,"Malo",IF(AC28&lt;=2199,"Mala",IF(AC28&lt;=2399,"Malo",IF(AC28&lt;=2800,"Bueno","Excelente")))),
IF(AND(F28&gt;=30,F28&lt;40),
IF(AC28&lt;=1500,"Malo",IF(AC28&lt;=1899,"Mala",IF(AC28&lt;=2299,"Malo",IF(AC28&lt;=2700,"Bueno","Excelente")))),
IF(AND(F28&gt;=40,F28&lt;50),
IF(AC28&lt;=1400,"Malo",IF(AC28&lt;=1699,"Mala",IF(AC28&lt;=2099,"Malo",IF(AC28&lt;=2500,"Bueno","Excelente")))),
IF(F28&gt;=50,
IF(AC28&lt;=1300,"Malo",IF(AC28&lt;=1599,"Mala",IF(AC28&lt;=1999,"Malo",IF(AC28&lt;=2400,"Bueno","Excelente")))),
"Edad fuera de rango"))))</f>
        <v>Bueno</v>
      </c>
    </row>
    <row r="29" spans="1:30" x14ac:dyDescent="0.25">
      <c r="A29" s="2">
        <v>28</v>
      </c>
      <c r="B29" s="10" t="s">
        <v>20</v>
      </c>
      <c r="C29" s="19" t="s">
        <v>87</v>
      </c>
      <c r="D29" s="19" t="s">
        <v>53</v>
      </c>
      <c r="E29" s="19" t="s">
        <v>95</v>
      </c>
      <c r="F29" s="2">
        <v>15</v>
      </c>
      <c r="G29" s="2">
        <v>68.099999999999994</v>
      </c>
      <c r="H29" s="17">
        <v>173</v>
      </c>
      <c r="I29" s="12">
        <v>9</v>
      </c>
      <c r="J29" s="12">
        <v>11</v>
      </c>
      <c r="K29" s="12">
        <v>17</v>
      </c>
      <c r="L29" s="12">
        <v>88</v>
      </c>
      <c r="M29" s="12">
        <v>13</v>
      </c>
      <c r="N29" s="12">
        <v>12</v>
      </c>
      <c r="O29" s="12">
        <v>16</v>
      </c>
      <c r="P29" s="12">
        <v>28</v>
      </c>
      <c r="Q29" s="12">
        <v>30</v>
      </c>
      <c r="R29" s="12">
        <v>89</v>
      </c>
      <c r="S29" s="12">
        <v>76</v>
      </c>
      <c r="T29" s="12">
        <v>89</v>
      </c>
      <c r="U29" s="12">
        <v>51</v>
      </c>
      <c r="V29" s="12">
        <v>37</v>
      </c>
      <c r="W29" s="2">
        <v>23</v>
      </c>
      <c r="X29" s="2" t="str">
        <f>IF(W29&gt;30,"Excelente",IF(W29&gt;=26,"Bueno",IF(W29&gt;=20,"Bueno",IF(W29&gt;=17,"Malo","Pobre"))))</f>
        <v>Bueno</v>
      </c>
      <c r="Y29" s="2">
        <v>25</v>
      </c>
      <c r="Z29" s="2" t="str">
        <f>IF(AND(F29&gt;=15,F29&lt;=19),
IF(Y29&lt;18,"Muy bajo",IF(Y29&lt;=23,"Bajo",IF(Y29&lt;=29,"Bueno",IF(Y29&lt;=35,"Bueno","Excelente")))),
IF(AND(F29&gt;=20,F29&lt;=29),
IF(Y29&lt;16,"Muy bajo",IF(Y29&lt;=21,"Bajo",IF(Y29&lt;=27,"Bueno",IF(Y29&lt;=33,"Bueno","Excelente")))),
IF(AND(F29&gt;=30,F29&lt;=39),
IF(Y29&lt;11,"Muy bajo",IF(Y29&lt;=16,"Bajo",IF(Y29&lt;=21,"Bueno",IF(Y29&lt;=27,"Bueno","Excelente")))),
IF(AND(F29&gt;=40,F29&lt;=49),
IF(Y29&lt;8,"Muy bajo",IF(Y29&lt;=12,"Bajo",IF(Y29&lt;=15,"Bueno",IF(Y29&lt;=21,"Bueno","Excelente")))),
IF(AND(F29&gt;=50,F29&lt;=59),
IF(Y29&lt;5,"Muy bajo",IF(Y29&lt;=8,"Bajo",IF(Y29&lt;=12,"Bueno",IF(Y29&lt;=17,"Bueno","Excelente")))),
IF(AND(F29&gt;=60,F29&lt;=69),
IF(Y29&lt;4,"Muy bajo",IF(Y29&lt;=7,"Bajo",IF(Y29&lt;=11,"Bueno",IF(Y29&lt;=16,"Bueno","Excelente")))),
IF(F29&gt;=70,
IF(Y29&lt;3,"Muy bajo",IF(Y29&lt;=5,"Bajo",IF(Y29&lt;=9,"Bueno",IF(Y29&lt;=13,"Bueno","Excelente")))),
"Edad fuera de rango")))))))</f>
        <v>Bueno</v>
      </c>
      <c r="AA29" s="2">
        <v>1.82</v>
      </c>
      <c r="AB29" s="3" t="str">
        <f t="shared" si="1"/>
        <v>Bueno</v>
      </c>
      <c r="AC29" s="2">
        <v>2286</v>
      </c>
      <c r="AD29" s="2" t="str">
        <f>IF(F29&lt;30,
IF(AC29&lt;1600,"Malo",IF(AC29&lt;=2199,"Mala",IF(AC29&lt;=2399,"Malo",IF(AC29&lt;=2800,"Bueno","Excelente")))),
IF(AND(F29&gt;=30,F29&lt;40),
IF(AC29&lt;=1500,"Malo",IF(AC29&lt;=1899,"Mala",IF(AC29&lt;=2299,"Malo",IF(AC29&lt;=2700,"Bueno","Excelente")))),
IF(AND(F29&gt;=40,F29&lt;50),
IF(AC29&lt;=1400,"Malo",IF(AC29&lt;=1699,"Mala",IF(AC29&lt;=2099,"Malo",IF(AC29&lt;=2500,"Bueno","Excelente")))),
IF(F29&gt;=50,
IF(AC29&lt;=1300,"Malo",IF(AC29&lt;=1599,"Mala",IF(AC29&lt;=1999,"Malo",IF(AC29&lt;=2400,"Bueno","Excelente")))),
"Edad fuera de rango"))))</f>
        <v>Malo</v>
      </c>
    </row>
    <row r="30" spans="1:30" x14ac:dyDescent="0.25">
      <c r="A30" s="2">
        <v>29</v>
      </c>
      <c r="B30" s="10" t="s">
        <v>20</v>
      </c>
      <c r="C30" s="19" t="s">
        <v>88</v>
      </c>
      <c r="D30" s="19" t="s">
        <v>54</v>
      </c>
      <c r="E30" s="19" t="s">
        <v>95</v>
      </c>
      <c r="F30" s="2">
        <v>14</v>
      </c>
      <c r="G30" s="2">
        <v>51.9</v>
      </c>
      <c r="H30" s="4">
        <v>1.66</v>
      </c>
      <c r="I30" s="12">
        <v>8</v>
      </c>
      <c r="J30" s="12">
        <v>7</v>
      </c>
      <c r="K30" s="12">
        <v>9</v>
      </c>
      <c r="L30" s="12">
        <v>5</v>
      </c>
      <c r="M30" s="12">
        <v>9</v>
      </c>
      <c r="N30" s="12">
        <v>14</v>
      </c>
      <c r="O30" s="12">
        <v>14</v>
      </c>
      <c r="P30" s="12">
        <v>24</v>
      </c>
      <c r="Q30" s="12">
        <v>26</v>
      </c>
      <c r="R30" s="12">
        <v>77</v>
      </c>
      <c r="S30" s="12">
        <v>68</v>
      </c>
      <c r="T30" s="12">
        <v>81</v>
      </c>
      <c r="U30" s="12">
        <v>47.5</v>
      </c>
      <c r="V30" s="12">
        <v>33.5</v>
      </c>
      <c r="W30" s="2">
        <v>22</v>
      </c>
      <c r="X30" s="2" t="str">
        <f>IF(W30&gt;30,"Excelente",IF(W30&gt;=26,"Bueno",IF(W30&gt;=20,"Bueno",IF(W30&gt;=17,"Malo","Pobre"))))</f>
        <v>Bueno</v>
      </c>
      <c r="Y30" s="2">
        <v>20</v>
      </c>
      <c r="Z30" s="2" t="str">
        <f>IF(AND(F30&gt;=15,F30&lt;=19),
IF(Y30&lt;18,"Muy bajo",IF(Y30&lt;=23,"Bajo",IF(Y30&lt;=29,"Bueno",IF(Y30&lt;=35,"Bueno","Excelente")))),
IF(AND(F30&gt;=20,F30&lt;=29),
IF(Y30&lt;16,"Muy bajo",IF(Y30&lt;=21,"Bajo",IF(Y30&lt;=27,"Bueno",IF(Y30&lt;=33,"Bueno","Excelente")))),
IF(AND(F30&gt;=30,F30&lt;=39),
IF(Y30&lt;11,"Muy bajo",IF(Y30&lt;=16,"Bajo",IF(Y30&lt;=21,"Bueno",IF(Y30&lt;=27,"Bueno","Excelente")))),
IF(AND(F30&gt;=40,F30&lt;=49),
IF(Y30&lt;8,"Muy bajo",IF(Y30&lt;=12,"Bajo",IF(Y30&lt;=15,"Bueno",IF(Y30&lt;=21,"Bueno","Excelente")))),
IF(AND(F30&gt;=50,F30&lt;=59),
IF(Y30&lt;5,"Muy bajo",IF(Y30&lt;=8,"Bajo",IF(Y30&lt;=12,"Bueno",IF(Y30&lt;=17,"Bueno","Excelente")))),
IF(AND(F30&gt;=60,F30&lt;=69),
IF(Y30&lt;4,"Muy bajo",IF(Y30&lt;=7,"Bajo",IF(Y30&lt;=11,"Bueno",IF(Y30&lt;=16,"Bueno","Excelente")))),
IF(F30&gt;=70,
IF(Y30&lt;3,"Muy bajo",IF(Y30&lt;=5,"Bajo",IF(Y30&lt;=9,"Bueno",IF(Y30&lt;=13,"Bueno","Excelente")))),
"Bajo")))))))</f>
        <v>Bajo</v>
      </c>
      <c r="AA30" s="2">
        <v>1.99</v>
      </c>
      <c r="AB30" s="3" t="str">
        <f t="shared" si="1"/>
        <v>Bueno</v>
      </c>
      <c r="AC30" s="2">
        <v>2102</v>
      </c>
      <c r="AD30" s="2" t="str">
        <f>IF(F30&lt;30,
IF(AC30&lt;1600,"Malo",IF(AC30&lt;=2199,"Mala",IF(AC30&lt;=2399,"Malo",IF(AC30&lt;=2800,"Bueno","Excelente")))),
IF(AND(F30&gt;=30,F30&lt;40),
IF(AC30&lt;=1500,"Malo",IF(AC30&lt;=1899,"Mala",IF(AC30&lt;=2299,"Malo",IF(AC30&lt;=2700,"Bueno","Excelente")))),
IF(AND(F30&gt;=40,F30&lt;50),
IF(AC30&lt;=1400,"Malo",IF(AC30&lt;=1699,"Mala",IF(AC30&lt;=2099,"Malo",IF(AC30&lt;=2500,"Bueno","Excelente")))),
IF(F30&gt;=50,
IF(AC30&lt;=1300,"Malo",IF(AC30&lt;=1599,"Mala",IF(AC30&lt;=1999,"Malo",IF(AC30&lt;=2400,"Bueno","Excelente")))),
"Edad fuera de rango"))))</f>
        <v>Mala</v>
      </c>
    </row>
    <row r="31" spans="1:30" x14ac:dyDescent="0.25">
      <c r="A31" s="2">
        <v>30</v>
      </c>
      <c r="B31" s="10" t="s">
        <v>20</v>
      </c>
      <c r="C31" s="19" t="s">
        <v>89</v>
      </c>
      <c r="D31" s="19" t="s">
        <v>55</v>
      </c>
      <c r="E31" s="19" t="s">
        <v>95</v>
      </c>
      <c r="F31" s="2">
        <v>15</v>
      </c>
      <c r="G31" s="2">
        <v>47.8</v>
      </c>
      <c r="H31" s="17">
        <v>161</v>
      </c>
      <c r="I31" s="12">
        <v>6</v>
      </c>
      <c r="J31" s="12">
        <v>8</v>
      </c>
      <c r="K31" s="12">
        <v>12</v>
      </c>
      <c r="L31" s="12">
        <v>5</v>
      </c>
      <c r="M31" s="12">
        <v>7</v>
      </c>
      <c r="N31" s="12">
        <v>7</v>
      </c>
      <c r="O31" s="12">
        <v>12</v>
      </c>
      <c r="P31" s="12">
        <v>23.5</v>
      </c>
      <c r="Q31" s="12">
        <v>26</v>
      </c>
      <c r="R31" s="12">
        <v>76</v>
      </c>
      <c r="S31" s="12">
        <v>64</v>
      </c>
      <c r="T31" s="12">
        <v>79</v>
      </c>
      <c r="U31" s="12">
        <v>46</v>
      </c>
      <c r="V31" s="12">
        <v>33</v>
      </c>
      <c r="W31" s="2">
        <v>25</v>
      </c>
      <c r="X31" s="2" t="str">
        <f>IF(W31&gt;30,"Excelente",IF(W31&gt;=26,"Bueno",IF(W31&gt;=20,"Bueno",IF(W31&gt;=17,"Malo","Pobre"))))</f>
        <v>Bueno</v>
      </c>
      <c r="Y31" s="2">
        <v>31</v>
      </c>
      <c r="Z31" s="2" t="str">
        <f>IF(AND(F31&gt;=15,F31&lt;=19),
IF(Y31&lt;18,"Muy bajo",IF(Y31&lt;=23,"Bajo",IF(Y31&lt;=29,"Bueno",IF(Y31&lt;=35,"Bueno","Excelente")))),
IF(AND(F31&gt;=20,F31&lt;=29),
IF(Y31&lt;16,"Muy bajo",IF(Y31&lt;=21,"Bajo",IF(Y31&lt;=27,"Bueno",IF(Y31&lt;=33,"Bueno","Excelente")))),
IF(AND(F31&gt;=30,F31&lt;=39),
IF(Y31&lt;11,"Muy bajo",IF(Y31&lt;=16,"Bajo",IF(Y31&lt;=21,"Bueno",IF(Y31&lt;=27,"Bueno","Excelente")))),
IF(AND(F31&gt;=40,F31&lt;=49),
IF(Y31&lt;8,"Muy bajo",IF(Y31&lt;=12,"Bajo",IF(Y31&lt;=15,"Bueno",IF(Y31&lt;=21,"Bueno","Excelente")))),
IF(AND(F31&gt;=50,F31&lt;=59),
IF(Y31&lt;5,"Muy bajo",IF(Y31&lt;=8,"Bajo",IF(Y31&lt;=12,"Bueno",IF(Y31&lt;=17,"Bueno","Excelente")))),
IF(AND(F31&gt;=60,F31&lt;=69),
IF(Y31&lt;4,"Muy bajo",IF(Y31&lt;=7,"Bajo",IF(Y31&lt;=11,"Bueno",IF(Y31&lt;=16,"Bueno","Excelente")))),
IF(F31&gt;=70,
IF(Y31&lt;3,"Muy bajo",IF(Y31&lt;=5,"Bajo",IF(Y31&lt;=9,"Bueno",IF(Y31&lt;=13,"Bueno","Excelente")))),
"Edad fuera de rango")))))))</f>
        <v>Bueno</v>
      </c>
      <c r="AA31" s="2">
        <v>1.87</v>
      </c>
      <c r="AB31" s="3" t="str">
        <f t="shared" si="1"/>
        <v>Bueno</v>
      </c>
      <c r="AC31" s="2">
        <v>2798</v>
      </c>
      <c r="AD31" s="2" t="str">
        <f>IF(F31&lt;30,
IF(AC31&lt;1600,"Malo",IF(AC31&lt;=2199,"Mala",IF(AC31&lt;=2399,"Malo",IF(AC31&lt;=2800,"Bueno","Excelente")))),
IF(AND(F31&gt;=30,F31&lt;40),
IF(AC31&lt;=1500,"Malo",IF(AC31&lt;=1899,"Mala",IF(AC31&lt;=2299,"Malo",IF(AC31&lt;=2700,"Bueno","Excelente")))),
IF(AND(F31&gt;=40,F31&lt;50),
IF(AC31&lt;=1400,"Malo",IF(AC31&lt;=1699,"Mala",IF(AC31&lt;=2099,"Malo",IF(AC31&lt;=2500,"Bueno","Excelente")))),
IF(F31&gt;=50,
IF(AC31&lt;=1300,"Malo",IF(AC31&lt;=1599,"Mala",IF(AC31&lt;=1999,"Malo",IF(AC31&lt;=2400,"Bueno","Excelente")))),
"Edad fuera de rango"))))</f>
        <v>Bueno</v>
      </c>
    </row>
    <row r="32" spans="1:30" x14ac:dyDescent="0.25">
      <c r="A32" s="2">
        <v>31</v>
      </c>
      <c r="B32" s="10" t="s">
        <v>20</v>
      </c>
      <c r="C32" s="19" t="s">
        <v>64</v>
      </c>
      <c r="D32" s="19" t="s">
        <v>49</v>
      </c>
      <c r="E32" s="19" t="s">
        <v>95</v>
      </c>
      <c r="F32" s="2">
        <v>14</v>
      </c>
      <c r="G32" s="2">
        <v>50.2</v>
      </c>
      <c r="H32" s="4">
        <v>1.61</v>
      </c>
      <c r="I32" s="12">
        <v>12</v>
      </c>
      <c r="J32" s="12">
        <v>14</v>
      </c>
      <c r="K32" s="12">
        <v>12</v>
      </c>
      <c r="L32" s="12">
        <v>7</v>
      </c>
      <c r="M32" s="12">
        <v>11</v>
      </c>
      <c r="N32" s="12">
        <v>22</v>
      </c>
      <c r="O32" s="12">
        <v>1</v>
      </c>
      <c r="P32" s="12">
        <v>26.5</v>
      </c>
      <c r="Q32" s="12">
        <v>27.5</v>
      </c>
      <c r="R32" s="12">
        <v>75.5</v>
      </c>
      <c r="S32" s="12">
        <v>66</v>
      </c>
      <c r="T32" s="12">
        <v>83</v>
      </c>
      <c r="U32" s="12">
        <v>49</v>
      </c>
      <c r="V32" s="12">
        <v>33</v>
      </c>
      <c r="W32" s="2">
        <v>23</v>
      </c>
      <c r="X32" s="2" t="str">
        <f>IF(W32&gt;30,"Excelente",IF(W32&gt;=26,"Bueno",IF(W32&gt;=20,"Bueno",IF(W32&gt;=17,"Malo","Pobre"))))</f>
        <v>Bueno</v>
      </c>
      <c r="Y32" s="2">
        <v>19</v>
      </c>
      <c r="Z32" s="2" t="str">
        <f>IF(AND(F32&gt;=15,F32&lt;=19),
IF(Y32&lt;18,"Muy bajo",IF(Y32&lt;=23,"Bajo",IF(Y32&lt;=29,"Bueno",IF(Y32&lt;=35,"Bueno","Excelente")))),
IF(AND(F32&gt;=20,F32&lt;=29),
IF(Y32&lt;16,"Muy bajo",IF(Y32&lt;=21,"Bajo",IF(Y32&lt;=27,"Bueno",IF(Y32&lt;=33,"Bueno","Excelente")))),
IF(AND(F32&gt;=30,F32&lt;=39),
IF(Y32&lt;11,"Muy bajo",IF(Y32&lt;=16,"Bajo",IF(Y32&lt;=21,"Bueno",IF(Y32&lt;=27,"Bueno","Excelente")))),
IF(AND(F32&gt;=40,F32&lt;=49),
IF(Y32&lt;8,"Muy bajo",IF(Y32&lt;=12,"Bajo",IF(Y32&lt;=15,"Bueno",IF(Y32&lt;=21,"Bueno","Excelente")))),
IF(AND(F32&gt;=50,F32&lt;=59),
IF(Y32&lt;5,"Muy bajo",IF(Y32&lt;=8,"Bajo",IF(Y32&lt;=12,"Bueno",IF(Y32&lt;=17,"Bueno","Excelente")))),
IF(AND(F32&gt;=60,F32&lt;=69),
IF(Y32&lt;4,"Muy bajo",IF(Y32&lt;=7,"Bajo",IF(Y32&lt;=11,"Bueno",IF(Y32&lt;=16,"Bueno","Excelente")))),
IF(F32&gt;=70,
IF(Y32&lt;3,"Muy bajo",IF(Y32&lt;=5,"Bajo",IF(Y32&lt;=9,"Bueno",IF(Y32&lt;=13,"Bueno","Excelente")))),
"Bajo")))))))</f>
        <v>Bajo</v>
      </c>
      <c r="AA32" s="2">
        <v>1.55</v>
      </c>
      <c r="AB32" s="3" t="str">
        <f t="shared" si="1"/>
        <v>Malo</v>
      </c>
      <c r="AC32" s="2">
        <v>2282</v>
      </c>
      <c r="AD32" s="2" t="str">
        <f>IF(F32&lt;30,
IF(AC32&lt;1600,"Malo",IF(AC32&lt;=2199,"Mala",IF(AC32&lt;=2399,"Malo",IF(AC32&lt;=2800,"Bueno","Excelente")))),
IF(AND(F32&gt;=30,F32&lt;40),
IF(AC32&lt;=1500,"Malo",IF(AC32&lt;=1899,"Mala",IF(AC32&lt;=2299,"Malo",IF(AC32&lt;=2700,"Bueno","Excelente")))),
IF(AND(F32&gt;=40,F32&lt;50),
IF(AC32&lt;=1400,"Malo",IF(AC32&lt;=1699,"Mala",IF(AC32&lt;=2099,"Malo",IF(AC32&lt;=2500,"Bueno","Excelente")))),
IF(F32&gt;=50,
IF(AC32&lt;=1300,"Malo",IF(AC32&lt;=1599,"Mala",IF(AC32&lt;=1999,"Malo",IF(AC32&lt;=2400,"Bueno","Excelente")))),
"Edad fuera de rango"))))</f>
        <v>Malo</v>
      </c>
    </row>
    <row r="33" spans="1:30" x14ac:dyDescent="0.25">
      <c r="A33" s="2">
        <v>32</v>
      </c>
      <c r="B33" s="10" t="s">
        <v>20</v>
      </c>
      <c r="C33" s="19" t="s">
        <v>90</v>
      </c>
      <c r="D33" s="19" t="s">
        <v>56</v>
      </c>
      <c r="E33" s="19" t="s">
        <v>95</v>
      </c>
      <c r="F33" s="2">
        <v>15</v>
      </c>
      <c r="G33" s="2">
        <v>71</v>
      </c>
      <c r="H33" s="4">
        <v>1.74</v>
      </c>
      <c r="I33" s="12">
        <v>14</v>
      </c>
      <c r="J33" s="12">
        <v>10</v>
      </c>
      <c r="K33" s="12">
        <v>11</v>
      </c>
      <c r="L33" s="12">
        <v>10</v>
      </c>
      <c r="M33" s="12">
        <v>14</v>
      </c>
      <c r="N33" s="12">
        <v>18</v>
      </c>
      <c r="O33" s="12">
        <v>19</v>
      </c>
      <c r="P33" s="12">
        <v>30</v>
      </c>
      <c r="Q33" s="12">
        <v>33</v>
      </c>
      <c r="R33" s="12">
        <v>89</v>
      </c>
      <c r="S33" s="12">
        <v>75</v>
      </c>
      <c r="T33" s="12">
        <v>94</v>
      </c>
      <c r="U33" s="12">
        <v>56</v>
      </c>
      <c r="V33" s="12">
        <v>36</v>
      </c>
      <c r="W33" s="2">
        <v>28</v>
      </c>
      <c r="X33" s="2" t="str">
        <f>IF(W33&gt;30,"Excelente",IF(W33&gt;=26,"Bueno",IF(W33&gt;=20,"Bueno",IF(W33&gt;=17,"Malo","Pobre"))))</f>
        <v>Bueno</v>
      </c>
      <c r="Y33" s="2">
        <v>28</v>
      </c>
      <c r="Z33" s="2" t="str">
        <f>IF(AND(F33&gt;=15,F33&lt;=19),
IF(Y33&lt;18,"Muy bajo",IF(Y33&lt;=23,"Bajo",IF(Y33&lt;=29,"Bueno",IF(Y33&lt;=35,"Bueno","Excelente")))),
IF(AND(F33&gt;=20,F33&lt;=29),
IF(Y33&lt;16,"Muy bajo",IF(Y33&lt;=21,"Bajo",IF(Y33&lt;=27,"Bueno",IF(Y33&lt;=33,"Bueno","Excelente")))),
IF(AND(F33&gt;=30,F33&lt;=39),
IF(Y33&lt;11,"Muy bajo",IF(Y33&lt;=16,"Bajo",IF(Y33&lt;=21,"Bueno",IF(Y33&lt;=27,"Bueno","Excelente")))),
IF(AND(F33&gt;=40,F33&lt;=49),
IF(Y33&lt;8,"Muy bajo",IF(Y33&lt;=12,"Bajo",IF(Y33&lt;=15,"Bueno",IF(Y33&lt;=21,"Bueno","Excelente")))),
IF(AND(F33&gt;=50,F33&lt;=59),
IF(Y33&lt;5,"Muy bajo",IF(Y33&lt;=8,"Bajo",IF(Y33&lt;=12,"Bueno",IF(Y33&lt;=17,"Bueno","Excelente")))),
IF(AND(F33&gt;=60,F33&lt;=69),
IF(Y33&lt;4,"Muy bajo",IF(Y33&lt;=7,"Bajo",IF(Y33&lt;=11,"Bueno",IF(Y33&lt;=16,"Bueno","Excelente")))),
IF(F33&gt;=70,
IF(Y33&lt;3,"Muy bajo",IF(Y33&lt;=5,"Bajo",IF(Y33&lt;=9,"Bueno",IF(Y33&lt;=13,"Bueno","Excelente")))),
"Edad fuera de rango")))))))</f>
        <v>Bueno</v>
      </c>
      <c r="AA33" s="2">
        <v>2.14</v>
      </c>
      <c r="AB33" s="3" t="str">
        <f t="shared" si="1"/>
        <v>Bueno</v>
      </c>
      <c r="AC33" s="2">
        <v>2649</v>
      </c>
      <c r="AD33" s="2" t="str">
        <f>IF(F33&lt;30,
IF(AC33&lt;1600,"Malo",IF(AC33&lt;=2199,"Mala",IF(AC33&lt;=2399,"Malo",IF(AC33&lt;=2800,"Bueno","Excelente")))),
IF(AND(F33&gt;=30,F33&lt;40),
IF(AC33&lt;=1500,"Malo",IF(AC33&lt;=1899,"Mala",IF(AC33&lt;=2299,"Malo",IF(AC33&lt;=2700,"Bueno","Excelente")))),
IF(AND(F33&gt;=40,F33&lt;50),
IF(AC33&lt;=1400,"Malo",IF(AC33&lt;=1699,"Mala",IF(AC33&lt;=2099,"Malo",IF(AC33&lt;=2500,"Bueno","Excelente")))),
IF(F33&gt;=50,
IF(AC33&lt;=1300,"Malo",IF(AC33&lt;=1599,"Mala",IF(AC33&lt;=1999,"Malo",IF(AC33&lt;=2400,"Bueno","Excelente")))),
"Edad fuera de rango"))))</f>
        <v>Bueno</v>
      </c>
    </row>
    <row r="34" spans="1:30" x14ac:dyDescent="0.25">
      <c r="A34" s="2">
        <v>33</v>
      </c>
      <c r="B34" s="10" t="s">
        <v>20</v>
      </c>
      <c r="C34" s="19" t="s">
        <v>91</v>
      </c>
      <c r="D34" s="19" t="s">
        <v>57</v>
      </c>
      <c r="E34" s="19" t="s">
        <v>95</v>
      </c>
      <c r="F34" s="2">
        <v>14</v>
      </c>
      <c r="G34" s="2">
        <v>50.8</v>
      </c>
      <c r="H34" s="17">
        <v>159</v>
      </c>
      <c r="I34" s="12">
        <v>9</v>
      </c>
      <c r="J34" s="12">
        <v>9</v>
      </c>
      <c r="K34" s="12">
        <v>9.5</v>
      </c>
      <c r="L34" s="12">
        <v>8</v>
      </c>
      <c r="M34" s="12">
        <v>9</v>
      </c>
      <c r="N34" s="12">
        <v>13</v>
      </c>
      <c r="O34" s="12">
        <v>9</v>
      </c>
      <c r="P34" s="12">
        <v>26</v>
      </c>
      <c r="Q34" s="12">
        <v>28.5</v>
      </c>
      <c r="R34" s="12">
        <v>79</v>
      </c>
      <c r="S34" s="12">
        <v>69</v>
      </c>
      <c r="T34" s="12">
        <v>82</v>
      </c>
      <c r="U34" s="12">
        <v>47.5</v>
      </c>
      <c r="V34" s="12">
        <v>34</v>
      </c>
      <c r="W34" s="2">
        <v>27</v>
      </c>
      <c r="X34" s="2" t="str">
        <f>IF(W34&gt;30,"Excelente",IF(W34&gt;=26,"Bueno",IF(W34&gt;=20,"Bueno",IF(W34&gt;=17,"Malo","Pobre"))))</f>
        <v>Bueno</v>
      </c>
      <c r="Y34" s="2">
        <v>28</v>
      </c>
      <c r="Z34" s="2" t="str">
        <f>IF(AND(F33&gt;=15,F33&lt;=19),
IF(Y33&lt;18,"Muy bajo",IF(Y33&lt;=23,"Bajo",IF(Y33&lt;=29,"Bueno",IF(Y33&lt;=35,"Bueno","Excelente")))),
IF(AND(F33&gt;=20,F33&lt;=29),
IF(Y33&lt;16,"Muy bajo",IF(Y33&lt;=21,"Bajo",IF(Y33&lt;=27,"Bueno",IF(Y33&lt;=33,"Bueno","Excelente")))),
IF(AND(F33&gt;=30,F33&lt;=39),
IF(Y33&lt;11,"Muy bajo",IF(Y33&lt;=16,"Bajo",IF(Y33&lt;=21,"Bueno",IF(Y33&lt;=27,"Bueno","Excelente")))),
IF(AND(F33&gt;=40,F33&lt;=49),
IF(Y33&lt;8,"Muy bajo",IF(Y33&lt;=12,"Bajo",IF(Y33&lt;=15,"Bueno",IF(Y33&lt;=21,"Bueno","Excelente")))),
IF(AND(F33&gt;=50,F33&lt;=59),
IF(Y33&lt;5,"Muy bajo",IF(Y33&lt;=8,"Bajo",IF(Y33&lt;=12,"Bueno",IF(Y33&lt;=17,"Bueno","Excelente")))),
IF(AND(F33&gt;=60,F33&lt;=69),
IF(Y33&lt;4,"Muy bajo",IF(Y33&lt;=7,"Bajo",IF(Y33&lt;=11,"Bueno",IF(Y33&lt;=16,"Bueno","Excelente")))),
IF(F33&gt;=70,
IF(Y33&lt;3,"Muy bajo",IF(Y33&lt;=5,"Bajo",IF(Y33&lt;=9,"Bueno",IF(Y33&lt;=13,"Bueno","Excelente")))),
"Edad fuera de rango")))))))</f>
        <v>Bueno</v>
      </c>
      <c r="AA34" s="2">
        <v>2.0099999999999998</v>
      </c>
      <c r="AB34" s="3" t="str">
        <f t="shared" si="1"/>
        <v>Bueno</v>
      </c>
      <c r="AC34" s="2">
        <v>10</v>
      </c>
      <c r="AD34" s="2" t="str">
        <f>IF(F34&lt;30,
IF(AC34&lt;1600,"Malo",IF(AC34&lt;=2199,"Mala",IF(AC34&lt;=2399,"Malo",IF(AC34&lt;=2800,"Bueno","Excelente")))),
IF(AND(F34&gt;=30,F34&lt;40),
IF(AC34&lt;=1500,"Malo",IF(AC34&lt;=1899,"Mala",IF(AC34&lt;=2299,"Malo",IF(AC34&lt;=2700,"Bueno","Excelente")))),
IF(AND(F34&gt;=40,F34&lt;50),
IF(AC34&lt;=1400,"Malo",IF(AC34&lt;=1699,"Mala",IF(AC34&lt;=2099,"Malo",IF(AC34&lt;=2500,"Bueno","Excelente")))),
IF(F34&gt;=50,
IF(AC34&lt;=1300,"Malo",IF(AC34&lt;=1599,"Mala",IF(AC34&lt;=1999,"Malo",IF(AC34&lt;=2400,"Bueno","Excelente")))),
"Edad fuera de rango"))))</f>
        <v>Malo</v>
      </c>
    </row>
    <row r="35" spans="1:30" x14ac:dyDescent="0.25">
      <c r="A35" s="2">
        <v>34</v>
      </c>
      <c r="B35" s="10" t="s">
        <v>20</v>
      </c>
      <c r="C35" s="19" t="s">
        <v>92</v>
      </c>
      <c r="D35" s="19" t="s">
        <v>58</v>
      </c>
      <c r="E35" s="19" t="s">
        <v>95</v>
      </c>
      <c r="F35" s="2">
        <v>14</v>
      </c>
      <c r="G35" s="2">
        <v>57.1</v>
      </c>
      <c r="H35" s="4">
        <v>1.78</v>
      </c>
      <c r="I35" s="12">
        <v>6</v>
      </c>
      <c r="J35" s="12">
        <v>8</v>
      </c>
      <c r="K35" s="12">
        <v>6</v>
      </c>
      <c r="L35" s="12">
        <v>4</v>
      </c>
      <c r="M35" s="12">
        <v>8</v>
      </c>
      <c r="N35" s="12">
        <v>9</v>
      </c>
      <c r="O35" s="12">
        <v>9</v>
      </c>
      <c r="P35" s="12">
        <v>24</v>
      </c>
      <c r="Q35" s="12">
        <v>26</v>
      </c>
      <c r="R35" s="12">
        <v>82</v>
      </c>
      <c r="S35" s="12">
        <v>73</v>
      </c>
      <c r="T35" s="12">
        <v>83</v>
      </c>
      <c r="U35" s="12">
        <v>44.5</v>
      </c>
      <c r="V35" s="12">
        <v>32</v>
      </c>
      <c r="W35" s="2">
        <v>22</v>
      </c>
      <c r="X35" s="2" t="str">
        <f>IF(W35&gt;30,"Excelente",IF(W35&gt;=26,"Bueno",IF(W35&gt;=20,"Bueno",IF(W35&gt;=17,"Malo","Pobre"))))</f>
        <v>Bueno</v>
      </c>
      <c r="Y35" s="2">
        <v>13</v>
      </c>
      <c r="Z35" s="2" t="str">
        <f>IF(AND(F35&gt;=15,F35&lt;=19),
IF(Y35&lt;18,"Muy bajo",IF(Y35&lt;=23,"Bajo",IF(Y35&lt;=29,"Bueno",IF(Y35&lt;=35,"Bueno","Excelente")))),
IF(AND(F35&gt;=20,F35&lt;=29),
IF(Y35&lt;16,"Muy bajo",IF(Y35&lt;=21,"Bajo",IF(Y35&lt;=27,"Bueno",IF(Y35&lt;=33,"Bueno","Excelente")))),
IF(AND(F35&gt;=30,F35&lt;=39),
IF(Y35&lt;11,"Muy bajo",IF(Y35&lt;=16,"Bajo",IF(Y35&lt;=21,"Bueno",IF(Y35&lt;=27,"Bueno","Excelente")))),
IF(AND(F35&gt;=40,F35&lt;=49),
IF(Y35&lt;8,"Muy bajo",IF(Y35&lt;=12,"Bajo",IF(Y35&lt;=15,"Bueno",IF(Y35&lt;=21,"Bueno","Excelente")))),
IF(AND(F35&gt;=50,F35&lt;=59),
IF(Y35&lt;5,"Muy bajo",IF(Y35&lt;=8,"Bajo",IF(Y35&lt;=12,"Bueno",IF(Y35&lt;=17,"Bueno","Excelente")))),
IF(AND(F35&gt;=60,F35&lt;=69),
IF(Y35&lt;4,"Muy bajo",IF(Y35&lt;=7,"Bajo",IF(Y35&lt;=11,"Bueno",IF(Y35&lt;=16,"Bueno","Excelente")))),
IF(F35&gt;=70,
IF(Y35&lt;3,"Muy bajo",IF(Y35&lt;=5,"Bajo",IF(Y35&lt;=9,"Bueno",IF(Y35&lt;=13,"Bueno","Excelente")))),
"Muy Bajo")))))))</f>
        <v>Muy Bajo</v>
      </c>
      <c r="AA35" s="4">
        <v>1.8</v>
      </c>
      <c r="AB35" s="3" t="str">
        <f t="shared" si="1"/>
        <v>Bueno</v>
      </c>
      <c r="AC35" s="2">
        <v>2400</v>
      </c>
      <c r="AD35" s="2" t="str">
        <f>IF(F35&lt;30,
IF(AC35&lt;1600,"Malo",IF(AC35&lt;=2199,"Mala",IF(AC35&lt;=2399,"Malo",IF(AC35&lt;=2800,"Bueno","Excelente")))),
IF(AND(F35&gt;=30,F35&lt;40),
IF(AC35&lt;=1500,"Malo",IF(AC35&lt;=1899,"Mala",IF(AC35&lt;=2299,"Malo",IF(AC35&lt;=2700,"Bueno","Excelente")))),
IF(AND(F35&gt;=40,F35&lt;50),
IF(AC35&lt;=1400,"Malo",IF(AC35&lt;=1699,"Mala",IF(AC35&lt;=2099,"Malo",IF(AC35&lt;=2500,"Bueno","Excelente")))),
IF(F35&gt;=50,
IF(AC35&lt;=1300,"Malo",IF(AC35&lt;=1599,"Mala",IF(AC35&lt;=1999,"Malo",IF(AC35&lt;=2400,"Bueno","Excelente")))),
"Edad fuera de rango"))))</f>
        <v>Bueno</v>
      </c>
    </row>
    <row r="36" spans="1:30" x14ac:dyDescent="0.25">
      <c r="A36" s="2">
        <v>35</v>
      </c>
      <c r="B36" s="10" t="s">
        <v>20</v>
      </c>
      <c r="C36" s="19" t="s">
        <v>79</v>
      </c>
      <c r="D36" s="19" t="s">
        <v>59</v>
      </c>
      <c r="E36" s="19" t="s">
        <v>95</v>
      </c>
      <c r="F36" s="2">
        <v>14</v>
      </c>
      <c r="G36" s="2">
        <v>58.7</v>
      </c>
      <c r="H36" s="4">
        <v>1.76</v>
      </c>
      <c r="I36" s="12">
        <v>16</v>
      </c>
      <c r="J36" s="12">
        <v>8</v>
      </c>
      <c r="K36" s="12">
        <v>15</v>
      </c>
      <c r="L36" s="12">
        <v>8</v>
      </c>
      <c r="M36" s="12">
        <v>13</v>
      </c>
      <c r="N36" s="12">
        <v>10</v>
      </c>
      <c r="O36" s="12">
        <v>11</v>
      </c>
      <c r="P36" s="12">
        <v>23</v>
      </c>
      <c r="Q36" s="12">
        <v>26.5</v>
      </c>
      <c r="R36" s="12">
        <v>81</v>
      </c>
      <c r="S36" s="12">
        <v>70</v>
      </c>
      <c r="T36" s="12">
        <v>88</v>
      </c>
      <c r="U36" s="12">
        <v>48</v>
      </c>
      <c r="V36" s="12">
        <v>33.6</v>
      </c>
      <c r="W36" s="2">
        <v>25</v>
      </c>
      <c r="X36" s="2" t="str">
        <f>IF(W36&gt;30,"Excelente",IF(W36&gt;=26,"Bueno",IF(W36&gt;=20,"Bueno",IF(W36&gt;=17,"Malo","Pobre"))))</f>
        <v>Bueno</v>
      </c>
      <c r="Y36" s="2">
        <v>21</v>
      </c>
      <c r="Z36" s="2" t="str">
        <f>IF(AND(F36&gt;=15,F36&lt;=19),
IF(Y36&lt;18,"Muy bajo",IF(Y36&lt;=23,"Bajo",IF(Y36&lt;=29,"Bueno",IF(Y36&lt;=35,"Bueno","Excelente")))),
IF(AND(F36&gt;=20,F36&lt;=29),
IF(Y36&lt;16,"Muy bajo",IF(Y36&lt;=21,"Bajo",IF(Y36&lt;=27,"Bueno",IF(Y36&lt;=33,"Bueno","Excelente")))),
IF(AND(F36&gt;=30,F36&lt;=39),
IF(Y36&lt;11,"Muy bajo",IF(Y36&lt;=16,"Bajo",IF(Y36&lt;=21,"Bueno",IF(Y36&lt;=27,"Bueno","Excelente")))),
IF(AND(F36&gt;=40,F36&lt;=49),
IF(Y36&lt;8,"Muy bajo",IF(Y36&lt;=12,"Bajo",IF(Y36&lt;=15,"Bueno",IF(Y36&lt;=21,"Bueno","Excelente")))),
IF(AND(F36&gt;=50,F36&lt;=59),
IF(Y36&lt;5,"Muy bajo",IF(Y36&lt;=8,"Bajo",IF(Y36&lt;=12,"Bueno",IF(Y36&lt;=17,"Bueno","Excelente")))),
IF(AND(F36&gt;=60,F36&lt;=69),
IF(Y36&lt;4,"Muy bajo",IF(Y36&lt;=7,"Bajo",IF(Y36&lt;=11,"Bueno",IF(Y36&lt;=16,"Bueno","Excelente")))),
IF(F36&gt;=70,
IF(Y36&lt;3,"Muy bajo",IF(Y36&lt;=5,"Bajo",IF(Y36&lt;=9,"Bueno",IF(Y36&lt;=13,"Bueno","Excelente")))),
"Bajo")))))))</f>
        <v>Bajo</v>
      </c>
      <c r="AA36" s="2">
        <v>1.58</v>
      </c>
      <c r="AB36" s="3" t="str">
        <f t="shared" si="1"/>
        <v>Malo</v>
      </c>
      <c r="AC36" s="2">
        <v>10</v>
      </c>
      <c r="AD36" s="2" t="str">
        <f>IF(F36&lt;30,
IF(AC36&lt;1600,"Malo",IF(AC36&lt;=2199,"Mala",IF(AC36&lt;=2399,"Malo",IF(AC36&lt;=2800,"Bueno","Excelente")))),
IF(AND(F36&gt;=30,F36&lt;40),
IF(AC36&lt;=1500,"Malo",IF(AC36&lt;=1899,"Mala",IF(AC36&lt;=2299,"Malo",IF(AC36&lt;=2700,"Bueno","Excelente")))),
IF(AND(F36&gt;=40,F36&lt;50),
IF(AC36&lt;=1400,"Malo",IF(AC36&lt;=1699,"Mala",IF(AC36&lt;=2099,"Malo",IF(AC36&lt;=2500,"Bueno","Excelente")))),
IF(F36&gt;=50,
IF(AC36&lt;=1300,"Malo",IF(AC36&lt;=1599,"Mala",IF(AC36&lt;=1999,"Malo",IF(AC36&lt;=2400,"Bueno","Excelente")))),
"Edad fuera de rango"))))</f>
        <v>Malo</v>
      </c>
    </row>
    <row r="37" spans="1:30" x14ac:dyDescent="0.25">
      <c r="A37" s="2">
        <v>36</v>
      </c>
      <c r="B37" s="10" t="s">
        <v>20</v>
      </c>
      <c r="C37" s="19" t="s">
        <v>79</v>
      </c>
      <c r="D37" s="19" t="s">
        <v>60</v>
      </c>
      <c r="E37" s="19" t="s">
        <v>95</v>
      </c>
      <c r="F37" s="2">
        <v>15</v>
      </c>
      <c r="G37" s="2">
        <v>52.7</v>
      </c>
      <c r="H37" s="4">
        <v>1.74</v>
      </c>
      <c r="I37" s="12">
        <v>12</v>
      </c>
      <c r="J37" s="12">
        <v>13</v>
      </c>
      <c r="K37" s="12">
        <v>16</v>
      </c>
      <c r="L37" s="12">
        <v>10</v>
      </c>
      <c r="M37" s="12">
        <v>16</v>
      </c>
      <c r="N37" s="12">
        <v>11</v>
      </c>
      <c r="O37" s="12">
        <v>14</v>
      </c>
      <c r="P37" s="12">
        <v>25</v>
      </c>
      <c r="Q37" s="12">
        <v>29</v>
      </c>
      <c r="R37" s="12">
        <v>887</v>
      </c>
      <c r="S37" s="12">
        <v>76.5</v>
      </c>
      <c r="T37" s="12">
        <v>91</v>
      </c>
      <c r="U37" s="12">
        <v>52</v>
      </c>
      <c r="V37" s="12">
        <v>36</v>
      </c>
      <c r="W37" s="2">
        <v>28</v>
      </c>
      <c r="X37" s="2" t="str">
        <f>IF(W37&gt;30,"Excelente",IF(W37&gt;=26,"Bueno",IF(W37&gt;=20,"Bueno",IF(W37&gt;=17,"Malo","Pobre"))))</f>
        <v>Bueno</v>
      </c>
      <c r="Y37" s="2">
        <v>34</v>
      </c>
      <c r="Z37" s="2" t="str">
        <f>IF(AND(F37&gt;=15,F37&lt;=19),
IF(Y37&lt;18,"Muy bajo",IF(Y37&lt;=23,"Bajo",IF(Y37&lt;=29,"Bueno",IF(Y37&lt;=35,"Bueno","Excelente")))),
IF(AND(F37&gt;=20,F37&lt;=29),
IF(Y37&lt;16,"Muy bajo",IF(Y37&lt;=21,"Bajo",IF(Y37&lt;=27,"Bueno",IF(Y37&lt;=33,"Bueno","Excelente")))),
IF(AND(F37&gt;=30,F37&lt;=39),
IF(Y37&lt;11,"Muy bajo",IF(Y37&lt;=16,"Bajo",IF(Y37&lt;=21,"Bueno",IF(Y37&lt;=27,"Bueno","Excelente")))),
IF(AND(F37&gt;=40,F37&lt;=49),
IF(Y37&lt;8,"Muy bajo",IF(Y37&lt;=12,"Bajo",IF(Y37&lt;=15,"Bueno",IF(Y37&lt;=21,"Bueno","Excelente")))),
IF(AND(F37&gt;=50,F37&lt;=59),
IF(Y37&lt;5,"Muy bajo",IF(Y37&lt;=8,"Bajo",IF(Y37&lt;=12,"Bueno",IF(Y37&lt;=17,"Bueno","Excelente")))),
IF(AND(F37&gt;=60,F37&lt;=69),
IF(Y37&lt;4,"Muy bajo",IF(Y37&lt;=7,"Bajo",IF(Y37&lt;=11,"Bueno",IF(Y37&lt;=16,"Bueno","Excelente")))),
IF(F37&gt;=70,
IF(Y37&lt;3,"Muy bajo",IF(Y37&lt;=5,"Bajo",IF(Y37&lt;=9,"Bueno",IF(Y37&lt;=13,"Bueno","Excelente")))),
"Bajo")))))))</f>
        <v>Bueno</v>
      </c>
      <c r="AA37" s="2">
        <v>1.75</v>
      </c>
      <c r="AB37" s="3" t="str">
        <f t="shared" si="1"/>
        <v>Bueno</v>
      </c>
      <c r="AC37" s="2">
        <v>2383</v>
      </c>
      <c r="AD37" s="2" t="str">
        <f>IF(F37&lt;30,
IF(AC37&lt;1600,"Malo",IF(AC37&lt;=2199,"Mala",IF(AC37&lt;=2399,"Malo",IF(AC37&lt;=2800,"Bueno","Excelente")))),
IF(AND(F37&gt;=30,F37&lt;40),
IF(AC37&lt;=1500,"Malo",IF(AC37&lt;=1899,"Mala",IF(AC37&lt;=2299,"Malo",IF(AC37&lt;=2700,"Bueno","Excelente")))),
IF(AND(F37&gt;=40,F37&lt;50),
IF(AC37&lt;=1400,"Malo",IF(AC37&lt;=1699,"Mala",IF(AC37&lt;=2099,"Malo",IF(AC37&lt;=2500,"Bueno","Excelente")))),
IF(F37&gt;=50,
IF(AC37&lt;=1300,"Malo",IF(AC37&lt;=1599,"Mala",IF(AC37&lt;=1999,"Malo",IF(AC37&lt;=2400,"Bueno","Excelente")))),
"Edad fuera de rango"))))</f>
        <v>Malo</v>
      </c>
    </row>
    <row r="38" spans="1:30" x14ac:dyDescent="0.25">
      <c r="A38" s="2">
        <v>37</v>
      </c>
      <c r="B38" s="10" t="s">
        <v>20</v>
      </c>
      <c r="C38" s="19" t="s">
        <v>93</v>
      </c>
      <c r="D38" s="19" t="s">
        <v>61</v>
      </c>
      <c r="E38" s="19" t="s">
        <v>95</v>
      </c>
      <c r="F38" s="2">
        <v>15</v>
      </c>
      <c r="G38" s="2">
        <v>49</v>
      </c>
      <c r="H38" s="4">
        <v>1.69</v>
      </c>
      <c r="I38" s="12">
        <v>8</v>
      </c>
      <c r="J38" s="12">
        <v>8</v>
      </c>
      <c r="K38" s="12">
        <v>9</v>
      </c>
      <c r="L38" s="12">
        <v>4</v>
      </c>
      <c r="M38" s="12">
        <v>9</v>
      </c>
      <c r="N38" s="12">
        <v>7</v>
      </c>
      <c r="O38" s="12">
        <v>10</v>
      </c>
      <c r="P38" s="12">
        <v>24</v>
      </c>
      <c r="Q38" s="12">
        <v>26</v>
      </c>
      <c r="R38" s="12">
        <v>73</v>
      </c>
      <c r="S38" s="12">
        <v>64</v>
      </c>
      <c r="T38" s="12">
        <v>81</v>
      </c>
      <c r="U38" s="12">
        <v>47</v>
      </c>
      <c r="V38" s="12">
        <v>30.5</v>
      </c>
      <c r="W38" s="2">
        <v>28</v>
      </c>
      <c r="X38" s="2" t="str">
        <f>IF(W38&gt;30,"Excelente",IF(W38&gt;=26,"Bueno",IF(W38&gt;=20,"Bueno",IF(W38&gt;=17,"Malo","Pobre"))))</f>
        <v>Bueno</v>
      </c>
      <c r="Y38" s="2">
        <v>27</v>
      </c>
      <c r="Z38" s="2" t="str">
        <f>IF(AND(F38&gt;=15,F38&lt;=19),
IF(Y38&lt;18,"Muy bajo",IF(Y38&lt;=23,"Bajo",IF(Y38&lt;=29,"Bueno",IF(Y38&lt;=35,"Bueno","Excelente")))),
IF(AND(F38&gt;=20,F38&lt;=29),
IF(Y38&lt;16,"Muy bajo",IF(Y38&lt;=21,"Bajo",IF(Y38&lt;=27,"Bueno",IF(Y38&lt;=33,"Bueno","Excelente")))),
IF(AND(F38&gt;=30,F38&lt;=39),
IF(Y38&lt;11,"Muy bajo",IF(Y38&lt;=16,"Bajo",IF(Y38&lt;=21,"Bueno",IF(Y38&lt;=27,"Bueno","Excelente")))),
IF(AND(F38&gt;=40,F38&lt;=49),
IF(Y38&lt;8,"Muy bajo",IF(Y38&lt;=12,"Bajo",IF(Y38&lt;=15,"Bueno",IF(Y38&lt;=21,"Bueno","Excelente")))),
IF(AND(F38&gt;=50,F38&lt;=59),
IF(Y38&lt;5,"Muy bajo",IF(Y38&lt;=8,"Bajo",IF(Y38&lt;=12,"Bueno",IF(Y38&lt;=17,"Bueno","Excelente")))),
IF(AND(F38&gt;=60,F38&lt;=69),
IF(Y38&lt;4,"Muy bajo",IF(Y38&lt;=7,"Bajo",IF(Y38&lt;=11,"Bueno",IF(Y38&lt;=16,"Bueno","Excelente")))),
IF(F38&gt;=70,
IF(Y38&lt;3,"Muy bajo",IF(Y38&lt;=5,"Bajo",IF(Y38&lt;=9,"Bueno",IF(Y38&lt;=13,"Bueno","Excelente")))),
"Bajo")))))))</f>
        <v>Bueno</v>
      </c>
      <c r="AA38" s="4">
        <v>2</v>
      </c>
      <c r="AB38" s="3" t="str">
        <f t="shared" si="1"/>
        <v>Bueno</v>
      </c>
      <c r="AC38" s="2">
        <v>2420</v>
      </c>
      <c r="AD38" s="2" t="str">
        <f>IF(F38&lt;30,
IF(AC38&lt;1600,"Malo",IF(AC38&lt;=2199,"Mala",IF(AC38&lt;=2399,"Malo",IF(AC38&lt;=2800,"Bueno","Excelente")))),
IF(AND(F38&gt;=30,F38&lt;40),
IF(AC38&lt;=1500,"Malo",IF(AC38&lt;=1899,"Mala",IF(AC38&lt;=2299,"Malo",IF(AC38&lt;=2700,"Bueno","Excelente")))),
IF(AND(F38&gt;=40,F38&lt;50),
IF(AC38&lt;=1400,"Malo",IF(AC38&lt;=1699,"Mala",IF(AC38&lt;=2099,"Malo",IF(AC38&lt;=2500,"Bueno","Excelente")))),
IF(F38&gt;=50,
IF(AC38&lt;=1300,"Malo",IF(AC38&lt;=1599,"Mala",IF(AC38&lt;=1999,"Malo",IF(AC38&lt;=2400,"Bueno","Excelente")))),
"Edad fuera de rango"))))</f>
        <v>Bueno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ANTROPOMETRIA_ALEMANA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maiikol corrales</cp:lastModifiedBy>
  <dcterms:created xsi:type="dcterms:W3CDTF">2025-09-09T13:42:38Z</dcterms:created>
  <dcterms:modified xsi:type="dcterms:W3CDTF">2025-11-13T02:57:26Z</dcterms:modified>
</cp:coreProperties>
</file>